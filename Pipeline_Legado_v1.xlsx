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os\.gemini\antigravity\scratch\iscas-vercel\"/>
    </mc:Choice>
  </mc:AlternateContent>
  <xr:revisionPtr revIDLastSave="0" documentId="13_ncr:1_{3DD53A10-F6F6-42E2-813C-DB019AD7C11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ipeline" sheetId="1" r:id="rId1"/>
    <sheet name="Pain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8" i="2" l="1"/>
  <c r="B16" i="2"/>
  <c r="B15" i="2"/>
  <c r="B14" i="2"/>
  <c r="B13" i="2"/>
  <c r="B12" i="2"/>
  <c r="B20" i="2" s="1"/>
  <c r="B11" i="2"/>
  <c r="B10" i="2"/>
  <c r="B9" i="2"/>
  <c r="B8" i="2"/>
  <c r="B7" i="2"/>
  <c r="B6" i="2"/>
  <c r="B5" i="2"/>
  <c r="B4" i="2"/>
  <c r="B19" i="2" l="1"/>
</calcChain>
</file>

<file path=xl/sharedStrings.xml><?xml version="1.0" encoding="utf-8"?>
<sst xmlns="http://schemas.openxmlformats.org/spreadsheetml/2006/main" count="197" uniqueCount="134">
  <si>
    <t>LEGADO · PIPELINE DE PROSPECÇÃO</t>
  </si>
  <si>
    <t>Atualize a Situação de cada prospect. Os números e o gráfico se ajustam sozinhos.</t>
  </si>
  <si>
    <t>Prospect</t>
  </si>
  <si>
    <t>Nicho</t>
  </si>
  <si>
    <t>Cidade</t>
  </si>
  <si>
    <t>Situação</t>
  </si>
  <si>
    <t>Próximo toque / Quando</t>
  </si>
  <si>
    <t>Detalhes (motivo do não, observações)</t>
  </si>
  <si>
    <t>LEGADO · PAINEL DO FUNIL</t>
  </si>
  <si>
    <t>Quantidade</t>
  </si>
  <si>
    <t>1 · Mensagem enviada</t>
  </si>
  <si>
    <t>2 · Follow-up enviado</t>
  </si>
  <si>
    <t>3 · Ligação (pivô)</t>
  </si>
  <si>
    <t>4 · Mensagem ao dono</t>
  </si>
  <si>
    <t>5 · Ligação final</t>
  </si>
  <si>
    <t>Respondeu</t>
  </si>
  <si>
    <t>R1 marcada</t>
  </si>
  <si>
    <t>R1 realizada</t>
  </si>
  <si>
    <t>No-show</t>
  </si>
  <si>
    <t>R2 marcada</t>
  </si>
  <si>
    <t>Fechado</t>
  </si>
  <si>
    <t>Não / Descartado</t>
  </si>
  <si>
    <t>Depois (revisitar)</t>
  </si>
  <si>
    <t>Total prospects</t>
  </si>
  <si>
    <t>Taxa de resposta</t>
  </si>
  <si>
    <t>Taxa de no-show</t>
  </si>
  <si>
    <t>Contato (WhatsApp)</t>
  </si>
  <si>
    <t>Instagram</t>
  </si>
  <si>
    <t>Abaporu Educacional</t>
  </si>
  <si>
    <t>Cursinho</t>
  </si>
  <si>
    <t>Rio Claro</t>
  </si>
  <si>
    <t>(19) 98138-2107</t>
  </si>
  <si>
    <t>@abaporu.educacional</t>
  </si>
  <si>
    <t>Asset Inglês</t>
  </si>
  <si>
    <t>Idioma</t>
  </si>
  <si>
    <t>Indaiatuba</t>
  </si>
  <si>
    <t>(19) 3894-6650</t>
  </si>
  <si>
    <t>@inglesasset</t>
  </si>
  <si>
    <t>Believe Idiomas</t>
  </si>
  <si>
    <t>Mogi Mirim</t>
  </si>
  <si>
    <t>+55 19 3552-5292</t>
  </si>
  <si>
    <t>@believeidiomas</t>
  </si>
  <si>
    <t>Black White School</t>
  </si>
  <si>
    <t>(19) 99999-9999</t>
  </si>
  <si>
    <t>@school_black_white</t>
  </si>
  <si>
    <t>Curso Galileo</t>
  </si>
  <si>
    <t>Limeira</t>
  </si>
  <si>
    <t>(19) 3446-4330</t>
  </si>
  <si>
    <t>@cursogalileo</t>
  </si>
  <si>
    <t>D'Accord Idiomas</t>
  </si>
  <si>
    <t>Piracicaba</t>
  </si>
  <si>
    <t>(19) 98780-6738</t>
  </si>
  <si>
    <t>@idiomasdaccord</t>
  </si>
  <si>
    <t>E.W.E School</t>
  </si>
  <si>
    <t>(19) 3422-4534</t>
  </si>
  <si>
    <t>@e.w.e.school</t>
  </si>
  <si>
    <t>English You</t>
  </si>
  <si>
    <t>N/A</t>
  </si>
  <si>
    <t>@englishyoulimeira</t>
  </si>
  <si>
    <t>Exato Assessoria Estudantil</t>
  </si>
  <si>
    <t>Mogi Guaçu</t>
  </si>
  <si>
    <t>(19) 99706-2318</t>
  </si>
  <si>
    <t>@exatoassessoriaestudantil</t>
  </si>
  <si>
    <t>Exegese Idiomas</t>
  </si>
  <si>
    <t>+55 19 3806-1827</t>
  </si>
  <si>
    <t>@exegeseidiomas</t>
  </si>
  <si>
    <t>Apoio Vestibulinhos</t>
  </si>
  <si>
    <t>(19) 99784-3857</t>
  </si>
  <si>
    <t>@apoiovestibulinhos</t>
  </si>
  <si>
    <t>DO UP Escola de Idiomas</t>
  </si>
  <si>
    <t>(27) 9992...</t>
  </si>
  <si>
    <t>@doupvix</t>
  </si>
  <si>
    <t>Excellent Global Idiomas</t>
  </si>
  <si>
    <t>(19) 98783-7602</t>
  </si>
  <si>
    <t>@idiomas.eg</t>
  </si>
  <si>
    <t>London Center Idiomas</t>
  </si>
  <si>
    <t>@londoncenteridiomas</t>
  </si>
  <si>
    <t>Mogiana Cursos (Mogiana Vigilantes)</t>
  </si>
  <si>
    <t>New Way Idiomas</t>
  </si>
  <si>
    <t>Araras</t>
  </si>
  <si>
    <t>(19) 3541-8080</t>
  </si>
  <si>
    <t>@new.wayidiomas</t>
  </si>
  <si>
    <t>Quick Idiomas</t>
  </si>
  <si>
    <t>Não encontrado</t>
  </si>
  <si>
    <t>@quick_idiomas</t>
  </si>
  <si>
    <t>Tonight Idiomas</t>
  </si>
  <si>
    <t>(19) 3034-9079</t>
  </si>
  <si>
    <t>@tonightidiomas</t>
  </si>
  <si>
    <t>Flexus Palavrizar</t>
  </si>
  <si>
    <t>(19) 99612-3099</t>
  </si>
  <si>
    <t>@flexuspalavrizar.rc</t>
  </si>
  <si>
    <t>Get Fluent English Center</t>
  </si>
  <si>
    <t>@getfluent.limeira</t>
  </si>
  <si>
    <t>Interchange Idiomas</t>
  </si>
  <si>
    <t>(19) 3361-1080</t>
  </si>
  <si>
    <t>@interchangeidiomas</t>
  </si>
  <si>
    <t>Liberty Idiomas &amp; Informática</t>
  </si>
  <si>
    <t>+55 19 3806-4340</t>
  </si>
  <si>
    <t>@liberty.idiomas.informatica</t>
  </si>
  <si>
    <t>London English School</t>
  </si>
  <si>
    <t>Leme</t>
  </si>
  <si>
    <t>(19) 97802-9797</t>
  </si>
  <si>
    <t>@londonschoolon</t>
  </si>
  <si>
    <t>Michigan Idiomas</t>
  </si>
  <si>
    <t>(19) 3894-4881</t>
  </si>
  <si>
    <t>@michigan.indaiatuba</t>
  </si>
  <si>
    <t>Mundo Enem</t>
  </si>
  <si>
    <t>(19) 3017-2097</t>
  </si>
  <si>
    <t>@mundoenem</t>
  </si>
  <si>
    <t>New Interchange</t>
  </si>
  <si>
    <t>+55 19 3862-1462</t>
  </si>
  <si>
    <t>@newinterchangemogimirim</t>
  </si>
  <si>
    <t>Progresso Vestibulares</t>
  </si>
  <si>
    <t>(19) 99987-8813</t>
  </si>
  <si>
    <t>@progressovestibulares</t>
  </si>
  <si>
    <t>Purrfect Idiomas</t>
  </si>
  <si>
    <t>(19) 99659-8575</t>
  </si>
  <si>
    <t>@purridiomas</t>
  </si>
  <si>
    <t>Sense Inglês (Sense Private Instruction)</t>
  </si>
  <si>
    <t>The House Piracicaba</t>
  </si>
  <si>
    <t>(19) 3432-8707</t>
  </si>
  <si>
    <t>@thehousepiracicaba</t>
  </si>
  <si>
    <t>The Way Idiomas</t>
  </si>
  <si>
    <t>(19) 99555-7232</t>
  </si>
  <si>
    <t>@thewayidiomas</t>
  </si>
  <si>
    <t>Why Not Institute</t>
  </si>
  <si>
    <t>(19) 99079-0000</t>
  </si>
  <si>
    <t>@whynot_institute</t>
  </si>
  <si>
    <t>Curso Borges</t>
  </si>
  <si>
    <t>Campinas</t>
  </si>
  <si>
    <t>@cursoborges</t>
  </si>
  <si>
    <t>Excellent Global</t>
  </si>
  <si>
    <t>(19) 98191-3527</t>
  </si>
  <si>
    <t>@eg_rioclaro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</si>
</sst>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5"/>
      <color rgb="FFF5F1EB"/>
      <name val="Arial"/>
      <charset val="1"/>
    </font>
    <font>
      <i/>
      <sz val="9"/>
      <color rgb="FF8A8170"/>
      <name val="Arial"/>
      <charset val="1"/>
    </font>
    <font>
      <b/>
      <sz val="10"/>
      <color rgb="FFF5F1EB"/>
      <name val="Arial"/>
      <charset val="1"/>
    </font>
    <font>
      <sz val="10"/>
      <color rgb="FF1C1A17"/>
      <name val="Arial"/>
      <charset val="1"/>
    </font>
    <font>
      <b/>
      <sz val="10"/>
      <color rgb="FF1C1A17"/>
      <name val="Arial"/>
      <charset val="1"/>
    </font>
    <font>
      <sz val="10"/>
      <color rgb="FF8A817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C1A17"/>
        <bgColor rgb="FF333333"/>
      </patternFill>
    </fill>
    <fill>
      <patternFill patternType="solid">
        <fgColor rgb="FFF5F1EB"/>
        <bgColor rgb="FFFFFFFF"/>
      </patternFill>
    </fill>
    <fill>
      <patternFill patternType="solid">
        <fgColor rgb="FFFFFFFF"/>
        <bgColor rgb="FFF5F1EB"/>
      </patternFill>
    </fill>
  </fills>
  <borders count="2">
    <border>
      <left/>
      <right/>
      <top/>
      <bottom/>
      <diagonal/>
    </border>
    <border>
      <left style="thin">
        <color rgb="FFE2D8C4"/>
      </left>
      <right style="thin">
        <color rgb="FFE2D8C4"/>
      </right>
      <top style="thin">
        <color rgb="FFE2D8C4"/>
      </top>
      <bottom style="thin">
        <color rgb="FFE2D8C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0" xfId="0" applyFont="1" applyFill="1"/>
    <xf numFmtId="0" fontId="1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left" vertical="center" indent="1"/>
    </xf>
    <xf numFmtId="0" fontId="4" fillId="3" borderId="1" xfId="0" applyFont="1" applyFill="1" applyBorder="1" applyAlignment="1">
      <alignment horizontal="left" vertical="center" wrapText="1" indent="1"/>
    </xf>
    <xf numFmtId="0" fontId="4" fillId="3" borderId="0" xfId="0" applyFont="1" applyFill="1" applyAlignment="1">
      <alignment horizontal="left" indent="1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left" indent="1"/>
    </xf>
    <xf numFmtId="0" fontId="4" fillId="4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AABAD7"/>
      <rgbColor rgb="FF8A8170"/>
      <rgbColor rgb="FF9999FF"/>
      <rgbColor rgb="FF9F423F"/>
      <rgbColor rgb="FFF5F1EB"/>
      <rgbColor rgb="FFCCFFFF"/>
      <rgbColor rgb="FF660066"/>
      <rgbColor rgb="FFCC7C3A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2D8C4"/>
      <rgbColor rgb="FF416A9C"/>
      <rgbColor rgb="FF4BACC6"/>
      <rgbColor rgb="FF9BBB59"/>
      <rgbColor rgb="FFFFCC00"/>
      <rgbColor rgb="FFF79646"/>
      <rgbColor rgb="FFFF6600"/>
      <rgbColor rgb="FF8064A2"/>
      <rgbColor rgb="FF809B49"/>
      <rgbColor rgb="FF003366"/>
      <rgbColor rgb="FF3E8EA4"/>
      <rgbColor rgb="FF003300"/>
      <rgbColor rgb="FF1C1A17"/>
      <rgbColor rgb="FF993300"/>
      <rgbColor rgb="FFC0504D"/>
      <rgbColor rgb="FF6A528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Distribuição do funil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Painel!$B$3</c:f>
              <c:strCache>
                <c:ptCount val="1"/>
                <c:pt idx="0">
                  <c:v>Quantidade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811A-4E85-89C8-D7721888E0EE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811A-4E85-89C8-D7721888E0EE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811A-4E85-89C8-D7721888E0EE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811A-4E85-89C8-D7721888E0EE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811A-4E85-89C8-D7721888E0EE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811A-4E85-89C8-D7721888E0EE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811A-4E85-89C8-D7721888E0EE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811A-4E85-89C8-D7721888E0EE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811A-4E85-89C8-D7721888E0EE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811A-4E85-89C8-D7721888E0EE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811A-4E85-89C8-D7721888E0EE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811A-4E85-89C8-D7721888E0EE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9-811A-4E85-89C8-D7721888E0EE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811A-4E85-89C8-D7721888E0EE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811A-4E85-89C8-D7721888E0EE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811A-4E85-89C8-D7721888E0EE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811A-4E85-89C8-D7721888E0EE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811A-4E85-89C8-D7721888E0EE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811A-4E85-89C8-D7721888E0EE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811A-4E85-89C8-D7721888E0EE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811A-4E85-89C8-D7721888E0EE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811A-4E85-89C8-D7721888E0EE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811A-4E85-89C8-D7721888E0EE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5-811A-4E85-89C8-D7721888E0EE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7-811A-4E85-89C8-D7721888E0EE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9-811A-4E85-89C8-D7721888E0E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Painel!$A$4:$A$16</c:f>
              <c:strCache>
                <c:ptCount val="13"/>
                <c:pt idx="0">
                  <c:v>1 · Mensagem enviada</c:v>
                </c:pt>
                <c:pt idx="1">
                  <c:v>2 · Follow-up enviado</c:v>
                </c:pt>
                <c:pt idx="2">
                  <c:v>3 · Ligação (pivô)</c:v>
                </c:pt>
                <c:pt idx="3">
                  <c:v>4 · Mensagem ao dono</c:v>
                </c:pt>
                <c:pt idx="4">
                  <c:v>5 · Ligação final</c:v>
                </c:pt>
                <c:pt idx="5">
                  <c:v>Respondeu</c:v>
                </c:pt>
                <c:pt idx="6">
                  <c:v>R1 marcada</c:v>
                </c:pt>
                <c:pt idx="7">
                  <c:v>R1 realizada</c:v>
                </c:pt>
                <c:pt idx="8">
                  <c:v>No-show</c:v>
                </c:pt>
                <c:pt idx="9">
                  <c:v>R2 marcada</c:v>
                </c:pt>
                <c:pt idx="10">
                  <c:v>Fechado</c:v>
                </c:pt>
                <c:pt idx="11">
                  <c:v>Não / Descartado</c:v>
                </c:pt>
                <c:pt idx="12">
                  <c:v>Depois (revisitar)</c:v>
                </c:pt>
              </c:strCache>
            </c:strRef>
          </c:cat>
          <c:val>
            <c:numRef>
              <c:f>Painel!$B$4:$B$16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11A-4E85-89C8-D7721888E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13</xdr:col>
      <xdr:colOff>4320</xdr:colOff>
      <xdr:row>22</xdr:row>
      <xdr:rowOff>149760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showGridLines="0" tabSelected="1" zoomScaleNormal="100" workbookViewId="0">
      <selection sqref="A1:F1"/>
    </sheetView>
  </sheetViews>
  <sheetFormatPr defaultColWidth="8.6640625" defaultRowHeight="14.4" x14ac:dyDescent="0.3"/>
  <cols>
    <col min="1" max="1" width="26" customWidth="1"/>
    <col min="2" max="2" width="14" customWidth="1"/>
    <col min="3" max="3" width="16" customWidth="1"/>
    <col min="4" max="4" width="24" customWidth="1"/>
    <col min="5" max="5" width="26" customWidth="1"/>
    <col min="6" max="6" width="46" customWidth="1"/>
  </cols>
  <sheetData>
    <row r="1" spans="1:8" ht="33.75" customHeight="1" x14ac:dyDescent="0.3">
      <c r="A1" s="2" t="s">
        <v>0</v>
      </c>
      <c r="B1" s="2"/>
      <c r="C1" s="2"/>
      <c r="D1" s="2"/>
      <c r="E1" s="2"/>
      <c r="F1" s="2"/>
    </row>
    <row r="2" spans="1:8" ht="19.5" customHeight="1" x14ac:dyDescent="0.3">
      <c r="A2" s="1" t="s">
        <v>1</v>
      </c>
      <c r="B2" s="1"/>
      <c r="C2" s="1"/>
      <c r="D2" s="1"/>
      <c r="E2" s="1"/>
      <c r="F2" s="1"/>
    </row>
    <row r="4" spans="1:8" ht="25.5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t="s">
        <v>26</v>
      </c>
      <c r="H4" t="s">
        <v>27</v>
      </c>
    </row>
    <row r="5" spans="1:8" ht="19.5" customHeight="1" x14ac:dyDescent="0.3">
      <c r="A5" s="4" t="s">
        <v>28</v>
      </c>
      <c r="B5" s="4" t="s">
        <v>29</v>
      </c>
      <c r="C5" s="4" t="s">
        <v>30</v>
      </c>
      <c r="D5" s="4"/>
      <c r="E5" s="4"/>
      <c r="F5" s="5"/>
      <c r="G5" t="s">
        <v>31</v>
      </c>
      <c r="H5" t="s">
        <v>32</v>
      </c>
    </row>
    <row r="6" spans="1:8" ht="19.5" customHeight="1" x14ac:dyDescent="0.3">
      <c r="A6" s="6" t="s">
        <v>33</v>
      </c>
      <c r="B6" s="6" t="s">
        <v>34</v>
      </c>
      <c r="C6" s="6" t="s">
        <v>35</v>
      </c>
      <c r="D6" s="6"/>
      <c r="E6" s="6"/>
      <c r="F6" s="7"/>
      <c r="G6" t="s">
        <v>36</v>
      </c>
      <c r="H6" t="s">
        <v>37</v>
      </c>
    </row>
    <row r="7" spans="1:8" ht="19.5" customHeight="1" x14ac:dyDescent="0.3">
      <c r="A7" s="4" t="s">
        <v>38</v>
      </c>
      <c r="B7" s="4" t="s">
        <v>34</v>
      </c>
      <c r="C7" s="4" t="s">
        <v>39</v>
      </c>
      <c r="D7" s="4"/>
      <c r="E7" s="4"/>
      <c r="F7" s="5"/>
      <c r="G7" t="s">
        <v>40</v>
      </c>
      <c r="H7" t="s">
        <v>41</v>
      </c>
    </row>
    <row r="8" spans="1:8" ht="19.5" customHeight="1" x14ac:dyDescent="0.3">
      <c r="A8" s="6" t="s">
        <v>42</v>
      </c>
      <c r="B8" s="6" t="s">
        <v>34</v>
      </c>
      <c r="C8" s="6" t="s">
        <v>35</v>
      </c>
      <c r="D8" s="6"/>
      <c r="E8" s="6"/>
      <c r="F8" s="7"/>
      <c r="G8" t="s">
        <v>43</v>
      </c>
      <c r="H8" t="s">
        <v>44</v>
      </c>
    </row>
    <row r="9" spans="1:8" ht="19.5" customHeight="1" x14ac:dyDescent="0.3">
      <c r="A9" s="4" t="s">
        <v>45</v>
      </c>
      <c r="B9" s="4" t="s">
        <v>29</v>
      </c>
      <c r="C9" s="4" t="s">
        <v>46</v>
      </c>
      <c r="D9" s="4"/>
      <c r="E9" s="4"/>
      <c r="F9" s="5"/>
      <c r="G9" t="s">
        <v>47</v>
      </c>
      <c r="H9" t="s">
        <v>48</v>
      </c>
    </row>
    <row r="10" spans="1:8" ht="19.5" customHeight="1" x14ac:dyDescent="0.3">
      <c r="A10" s="6" t="s">
        <v>49</v>
      </c>
      <c r="B10" s="6" t="s">
        <v>34</v>
      </c>
      <c r="C10" s="6" t="s">
        <v>50</v>
      </c>
      <c r="D10" s="6"/>
      <c r="E10" s="6"/>
      <c r="F10" s="7"/>
      <c r="G10" t="s">
        <v>51</v>
      </c>
      <c r="H10" t="s">
        <v>52</v>
      </c>
    </row>
    <row r="11" spans="1:8" ht="19.5" customHeight="1" x14ac:dyDescent="0.3">
      <c r="A11" s="4" t="s">
        <v>53</v>
      </c>
      <c r="B11" s="4" t="s">
        <v>34</v>
      </c>
      <c r="C11" s="4" t="s">
        <v>50</v>
      </c>
      <c r="D11" s="4"/>
      <c r="E11" s="4"/>
      <c r="F11" s="5"/>
      <c r="G11" t="s">
        <v>54</v>
      </c>
      <c r="H11" t="s">
        <v>55</v>
      </c>
    </row>
    <row r="12" spans="1:8" ht="19.5" customHeight="1" x14ac:dyDescent="0.3">
      <c r="A12" s="6" t="s">
        <v>56</v>
      </c>
      <c r="B12" s="6" t="s">
        <v>34</v>
      </c>
      <c r="C12" s="6" t="s">
        <v>46</v>
      </c>
      <c r="D12" s="6"/>
      <c r="E12" s="6"/>
      <c r="F12" s="7"/>
      <c r="G12" t="s">
        <v>57</v>
      </c>
      <c r="H12" t="s">
        <v>58</v>
      </c>
    </row>
    <row r="13" spans="1:8" ht="19.5" customHeight="1" x14ac:dyDescent="0.3">
      <c r="A13" s="4" t="s">
        <v>59</v>
      </c>
      <c r="B13" s="4" t="s">
        <v>29</v>
      </c>
      <c r="C13" s="4" t="s">
        <v>60</v>
      </c>
      <c r="D13" s="4"/>
      <c r="E13" s="4"/>
      <c r="F13" s="5"/>
      <c r="G13" t="s">
        <v>61</v>
      </c>
      <c r="H13" t="s">
        <v>62</v>
      </c>
    </row>
    <row r="14" spans="1:8" ht="19.5" customHeight="1" x14ac:dyDescent="0.3">
      <c r="A14" s="6" t="s">
        <v>63</v>
      </c>
      <c r="B14" s="6" t="s">
        <v>34</v>
      </c>
      <c r="C14" s="6" t="s">
        <v>39</v>
      </c>
      <c r="D14" s="6"/>
      <c r="E14" s="6"/>
      <c r="F14" s="7"/>
      <c r="G14" t="s">
        <v>64</v>
      </c>
      <c r="H14" t="s">
        <v>65</v>
      </c>
    </row>
    <row r="15" spans="1:8" ht="19.5" customHeight="1" x14ac:dyDescent="0.3">
      <c r="A15" s="4" t="s">
        <v>66</v>
      </c>
      <c r="B15" s="4" t="s">
        <v>29</v>
      </c>
      <c r="C15" s="4" t="s">
        <v>46</v>
      </c>
      <c r="D15" s="4"/>
      <c r="E15" s="4"/>
      <c r="F15" s="5"/>
      <c r="G15" t="s">
        <v>67</v>
      </c>
      <c r="H15" t="s">
        <v>68</v>
      </c>
    </row>
    <row r="16" spans="1:8" ht="19.5" customHeight="1" x14ac:dyDescent="0.3">
      <c r="A16" s="6" t="s">
        <v>69</v>
      </c>
      <c r="B16" s="6" t="s">
        <v>34</v>
      </c>
      <c r="C16" s="6" t="s">
        <v>30</v>
      </c>
      <c r="D16" s="6"/>
      <c r="E16" s="6"/>
      <c r="F16" s="7"/>
      <c r="G16" t="s">
        <v>70</v>
      </c>
      <c r="H16" t="s">
        <v>71</v>
      </c>
    </row>
    <row r="17" spans="1:8" ht="19.5" customHeight="1" x14ac:dyDescent="0.3">
      <c r="A17" s="4" t="s">
        <v>72</v>
      </c>
      <c r="B17" s="4" t="s">
        <v>34</v>
      </c>
      <c r="C17" s="4" t="s">
        <v>46</v>
      </c>
      <c r="D17" s="4"/>
      <c r="E17" s="4"/>
      <c r="F17" s="5"/>
      <c r="G17" t="s">
        <v>73</v>
      </c>
      <c r="H17" t="s">
        <v>74</v>
      </c>
    </row>
    <row r="18" spans="1:8" ht="19.5" customHeight="1" x14ac:dyDescent="0.3">
      <c r="A18" s="6" t="s">
        <v>75</v>
      </c>
      <c r="B18" s="6" t="s">
        <v>34</v>
      </c>
      <c r="C18" s="6" t="s">
        <v>46</v>
      </c>
      <c r="D18" s="6"/>
      <c r="E18" s="6"/>
      <c r="F18" s="7"/>
      <c r="G18" t="s">
        <v>57</v>
      </c>
      <c r="H18" t="s">
        <v>76</v>
      </c>
    </row>
    <row r="19" spans="1:8" ht="19.5" customHeight="1" x14ac:dyDescent="0.3">
      <c r="A19" s="4" t="s">
        <v>77</v>
      </c>
      <c r="B19" s="4" t="s">
        <v>34</v>
      </c>
      <c r="C19" s="4" t="s">
        <v>30</v>
      </c>
      <c r="D19" s="4"/>
      <c r="E19" s="4"/>
      <c r="F19" s="5"/>
      <c r="G19" t="s">
        <v>57</v>
      </c>
    </row>
    <row r="20" spans="1:8" ht="19.5" customHeight="1" x14ac:dyDescent="0.3">
      <c r="A20" s="6" t="s">
        <v>78</v>
      </c>
      <c r="B20" s="6" t="s">
        <v>34</v>
      </c>
      <c r="C20" s="6" t="s">
        <v>79</v>
      </c>
      <c r="D20" s="6"/>
      <c r="E20" s="6"/>
      <c r="F20" s="7"/>
      <c r="G20" t="s">
        <v>80</v>
      </c>
      <c r="H20" t="s">
        <v>81</v>
      </c>
    </row>
    <row r="21" spans="1:8" ht="19.5" customHeight="1" x14ac:dyDescent="0.3">
      <c r="A21" s="4" t="s">
        <v>82</v>
      </c>
      <c r="B21" s="4" t="s">
        <v>34</v>
      </c>
      <c r="C21" s="4" t="s">
        <v>60</v>
      </c>
      <c r="D21" s="4"/>
      <c r="E21" s="4"/>
      <c r="F21" s="5"/>
      <c r="G21" t="s">
        <v>83</v>
      </c>
      <c r="H21" t="s">
        <v>84</v>
      </c>
    </row>
    <row r="22" spans="1:8" ht="19.5" customHeight="1" x14ac:dyDescent="0.3">
      <c r="A22" s="6" t="s">
        <v>85</v>
      </c>
      <c r="B22" s="6" t="s">
        <v>34</v>
      </c>
      <c r="C22" s="6" t="s">
        <v>46</v>
      </c>
      <c r="D22" s="6"/>
      <c r="E22" s="6"/>
      <c r="F22" s="7"/>
      <c r="G22" t="s">
        <v>86</v>
      </c>
      <c r="H22" t="s">
        <v>87</v>
      </c>
    </row>
    <row r="23" spans="1:8" ht="19.5" customHeight="1" x14ac:dyDescent="0.3">
      <c r="A23" s="4" t="s">
        <v>88</v>
      </c>
      <c r="B23" s="4" t="s">
        <v>29</v>
      </c>
      <c r="C23" s="4" t="s">
        <v>30</v>
      </c>
      <c r="D23" s="4"/>
      <c r="E23" s="4"/>
      <c r="F23" s="5"/>
      <c r="G23" t="s">
        <v>89</v>
      </c>
      <c r="H23" t="s">
        <v>90</v>
      </c>
    </row>
    <row r="24" spans="1:8" ht="19.5" customHeight="1" x14ac:dyDescent="0.3">
      <c r="A24" s="6" t="s">
        <v>91</v>
      </c>
      <c r="B24" s="6" t="s">
        <v>34</v>
      </c>
      <c r="C24" s="6" t="s">
        <v>46</v>
      </c>
      <c r="D24" s="6"/>
      <c r="E24" s="6"/>
      <c r="F24" s="7"/>
      <c r="G24" t="s">
        <v>57</v>
      </c>
      <c r="H24" t="s">
        <v>92</v>
      </c>
    </row>
    <row r="25" spans="1:8" ht="19.5" customHeight="1" x14ac:dyDescent="0.3">
      <c r="A25" s="4" t="s">
        <v>93</v>
      </c>
      <c r="B25" s="4" t="s">
        <v>34</v>
      </c>
      <c r="C25" s="4" t="s">
        <v>60</v>
      </c>
      <c r="D25" s="4"/>
      <c r="E25" s="4"/>
      <c r="F25" s="5"/>
      <c r="G25" t="s">
        <v>94</v>
      </c>
      <c r="H25" t="s">
        <v>95</v>
      </c>
    </row>
    <row r="26" spans="1:8" ht="19.5" customHeight="1" x14ac:dyDescent="0.3">
      <c r="A26" s="6" t="s">
        <v>96</v>
      </c>
      <c r="B26" s="6" t="s">
        <v>34</v>
      </c>
      <c r="C26" s="6" t="s">
        <v>39</v>
      </c>
      <c r="D26" s="6"/>
      <c r="E26" s="6"/>
      <c r="F26" s="7"/>
      <c r="G26" t="s">
        <v>97</v>
      </c>
      <c r="H26" t="s">
        <v>98</v>
      </c>
    </row>
    <row r="27" spans="1:8" ht="19.5" customHeight="1" x14ac:dyDescent="0.3">
      <c r="A27" s="4" t="s">
        <v>99</v>
      </c>
      <c r="B27" s="4" t="s">
        <v>34</v>
      </c>
      <c r="C27" s="4" t="s">
        <v>100</v>
      </c>
      <c r="D27" s="4"/>
      <c r="E27" s="4"/>
      <c r="F27" s="5"/>
      <c r="G27" t="s">
        <v>101</v>
      </c>
      <c r="H27" t="s">
        <v>102</v>
      </c>
    </row>
    <row r="28" spans="1:8" ht="19.5" customHeight="1" x14ac:dyDescent="0.3">
      <c r="A28" s="6" t="s">
        <v>103</v>
      </c>
      <c r="B28" s="6" t="s">
        <v>34</v>
      </c>
      <c r="C28" s="6" t="s">
        <v>35</v>
      </c>
      <c r="D28" s="6"/>
      <c r="E28" s="6"/>
      <c r="F28" s="7"/>
      <c r="G28" t="s">
        <v>104</v>
      </c>
      <c r="H28" t="s">
        <v>105</v>
      </c>
    </row>
    <row r="29" spans="1:8" ht="19.5" customHeight="1" x14ac:dyDescent="0.3">
      <c r="A29" s="4" t="s">
        <v>106</v>
      </c>
      <c r="B29" s="4" t="s">
        <v>29</v>
      </c>
      <c r="C29" s="4" t="s">
        <v>35</v>
      </c>
      <c r="D29" s="4"/>
      <c r="E29" s="4"/>
      <c r="F29" s="5"/>
      <c r="G29" t="s">
        <v>107</v>
      </c>
      <c r="H29" t="s">
        <v>108</v>
      </c>
    </row>
    <row r="30" spans="1:8" ht="19.5" customHeight="1" x14ac:dyDescent="0.3">
      <c r="A30" s="6" t="s">
        <v>109</v>
      </c>
      <c r="B30" s="6" t="s">
        <v>34</v>
      </c>
      <c r="C30" s="6" t="s">
        <v>39</v>
      </c>
      <c r="D30" s="6"/>
      <c r="E30" s="6"/>
      <c r="F30" s="7"/>
      <c r="G30" t="s">
        <v>110</v>
      </c>
      <c r="H30" t="s">
        <v>111</v>
      </c>
    </row>
    <row r="31" spans="1:8" ht="19.5" customHeight="1" x14ac:dyDescent="0.3">
      <c r="A31" s="4" t="s">
        <v>112</v>
      </c>
      <c r="B31" s="4" t="s">
        <v>29</v>
      </c>
      <c r="C31" s="4" t="s">
        <v>35</v>
      </c>
      <c r="D31" s="4"/>
      <c r="E31" s="4"/>
      <c r="F31" s="5"/>
      <c r="G31" t="s">
        <v>113</v>
      </c>
      <c r="H31" t="s">
        <v>114</v>
      </c>
    </row>
    <row r="32" spans="1:8" ht="19.5" customHeight="1" x14ac:dyDescent="0.3">
      <c r="A32" s="6" t="s">
        <v>115</v>
      </c>
      <c r="B32" s="6" t="s">
        <v>34</v>
      </c>
      <c r="C32" s="6" t="s">
        <v>46</v>
      </c>
      <c r="D32" s="6"/>
      <c r="E32" s="6"/>
      <c r="F32" s="7"/>
      <c r="G32" t="s">
        <v>116</v>
      </c>
      <c r="H32" t="s">
        <v>117</v>
      </c>
    </row>
    <row r="33" spans="1:8" ht="19.5" customHeight="1" x14ac:dyDescent="0.3">
      <c r="A33" s="4" t="s">
        <v>118</v>
      </c>
      <c r="B33" s="4" t="s">
        <v>34</v>
      </c>
      <c r="C33" s="4" t="s">
        <v>60</v>
      </c>
      <c r="D33" s="4"/>
      <c r="E33" s="4"/>
      <c r="F33" s="5"/>
      <c r="G33" t="s">
        <v>57</v>
      </c>
    </row>
    <row r="34" spans="1:8" ht="19.5" customHeight="1" x14ac:dyDescent="0.3">
      <c r="A34" s="6" t="s">
        <v>119</v>
      </c>
      <c r="B34" s="6" t="s">
        <v>34</v>
      </c>
      <c r="C34" s="6" t="s">
        <v>50</v>
      </c>
      <c r="D34" s="6"/>
      <c r="E34" s="6"/>
      <c r="F34" s="7"/>
      <c r="G34" t="s">
        <v>120</v>
      </c>
      <c r="H34" t="s">
        <v>121</v>
      </c>
    </row>
    <row r="35" spans="1:8" ht="19.5" customHeight="1" x14ac:dyDescent="0.3">
      <c r="A35" s="4" t="s">
        <v>122</v>
      </c>
      <c r="B35" s="4" t="s">
        <v>34</v>
      </c>
      <c r="C35" s="4" t="s">
        <v>30</v>
      </c>
      <c r="D35" s="4"/>
      <c r="E35" s="4"/>
      <c r="F35" s="5"/>
      <c r="G35" t="s">
        <v>123</v>
      </c>
      <c r="H35" t="s">
        <v>124</v>
      </c>
    </row>
    <row r="36" spans="1:8" ht="19.5" customHeight="1" x14ac:dyDescent="0.3">
      <c r="A36" s="6" t="s">
        <v>125</v>
      </c>
      <c r="B36" s="6" t="s">
        <v>34</v>
      </c>
      <c r="C36" s="6" t="s">
        <v>35</v>
      </c>
      <c r="D36" s="6"/>
      <c r="E36" s="6"/>
      <c r="F36" s="7"/>
      <c r="G36" t="s">
        <v>126</v>
      </c>
      <c r="H36" t="s">
        <v>127</v>
      </c>
    </row>
    <row r="37" spans="1:8" ht="19.5" customHeight="1" x14ac:dyDescent="0.3">
      <c r="A37" s="4" t="s">
        <v>128</v>
      </c>
      <c r="B37" s="4" t="s">
        <v>29</v>
      </c>
      <c r="C37" s="4" t="s">
        <v>129</v>
      </c>
      <c r="D37" s="4"/>
      <c r="E37" s="4"/>
      <c r="F37" s="5"/>
      <c r="G37" t="s">
        <v>57</v>
      </c>
      <c r="H37" t="s">
        <v>130</v>
      </c>
    </row>
    <row r="38" spans="1:8" ht="19.5" customHeight="1" x14ac:dyDescent="0.3">
      <c r="A38" s="6" t="s">
        <v>131</v>
      </c>
      <c r="B38" s="6" t="s">
        <v>34</v>
      </c>
      <c r="C38" s="6" t="s">
        <v>30</v>
      </c>
      <c r="D38" s="6"/>
      <c r="E38" s="6"/>
      <c r="F38" s="7"/>
      <c r="G38" t="s">
        <v>132</v>
      </c>
      <c r="H38" t="s">
        <v>133</v>
      </c>
    </row>
    <row r="39" spans="1:8" ht="19.5" customHeight="1" x14ac:dyDescent="0.3">
      <c r="A39" s="4"/>
      <c r="B39" s="4"/>
      <c r="C39" s="4"/>
      <c r="D39" s="4"/>
      <c r="E39" s="4"/>
      <c r="F39" s="5"/>
    </row>
    <row r="40" spans="1:8" ht="19.5" customHeight="1" x14ac:dyDescent="0.3">
      <c r="A40" s="6"/>
      <c r="B40" s="6"/>
      <c r="C40" s="6"/>
      <c r="D40" s="6"/>
      <c r="E40" s="6"/>
      <c r="F40" s="7"/>
    </row>
    <row r="41" spans="1:8" ht="19.5" customHeight="1" x14ac:dyDescent="0.3">
      <c r="A41" s="4"/>
      <c r="B41" s="4"/>
      <c r="C41" s="4"/>
      <c r="D41" s="4"/>
      <c r="E41" s="4"/>
      <c r="F41" s="5"/>
    </row>
    <row r="42" spans="1:8" ht="19.5" customHeight="1" x14ac:dyDescent="0.3">
      <c r="A42" s="6"/>
      <c r="B42" s="6"/>
      <c r="C42" s="6"/>
      <c r="D42" s="6"/>
      <c r="E42" s="6"/>
      <c r="F42" s="7"/>
    </row>
    <row r="43" spans="1:8" ht="19.5" customHeight="1" x14ac:dyDescent="0.3">
      <c r="A43" s="4"/>
      <c r="B43" s="4"/>
      <c r="C43" s="4"/>
      <c r="D43" s="4"/>
      <c r="E43" s="4"/>
      <c r="F43" s="5"/>
    </row>
    <row r="44" spans="1:8" ht="19.5" customHeight="1" x14ac:dyDescent="0.3">
      <c r="A44" s="6"/>
      <c r="B44" s="6"/>
      <c r="C44" s="6"/>
      <c r="D44" s="6"/>
      <c r="E44" s="6"/>
      <c r="F44" s="7"/>
    </row>
    <row r="45" spans="1:8" ht="19.5" customHeight="1" x14ac:dyDescent="0.3">
      <c r="A45" s="4"/>
      <c r="B45" s="4"/>
      <c r="C45" s="4"/>
      <c r="D45" s="4"/>
      <c r="E45" s="4"/>
      <c r="F45" s="5"/>
    </row>
    <row r="46" spans="1:8" ht="19.5" customHeight="1" x14ac:dyDescent="0.3">
      <c r="A46" s="6"/>
      <c r="B46" s="6"/>
      <c r="C46" s="6"/>
      <c r="D46" s="6"/>
      <c r="E46" s="6"/>
      <c r="F46" s="7"/>
    </row>
    <row r="47" spans="1:8" ht="19.5" customHeight="1" x14ac:dyDescent="0.3">
      <c r="A47" s="4"/>
      <c r="B47" s="4"/>
      <c r="C47" s="4"/>
      <c r="D47" s="4"/>
      <c r="E47" s="4"/>
      <c r="F47" s="5"/>
    </row>
    <row r="48" spans="1:8" ht="19.5" customHeight="1" x14ac:dyDescent="0.3">
      <c r="A48" s="6"/>
      <c r="B48" s="6"/>
      <c r="C48" s="6"/>
      <c r="D48" s="6"/>
      <c r="E48" s="6"/>
      <c r="F48" s="7"/>
    </row>
    <row r="49" spans="1:6" ht="19.5" customHeight="1" x14ac:dyDescent="0.3">
      <c r="A49" s="4"/>
      <c r="B49" s="4"/>
      <c r="C49" s="4"/>
      <c r="D49" s="4"/>
      <c r="E49" s="4"/>
      <c r="F49" s="5"/>
    </row>
    <row r="50" spans="1:6" ht="19.5" customHeight="1" x14ac:dyDescent="0.3">
      <c r="A50" s="6"/>
      <c r="B50" s="6"/>
      <c r="C50" s="6"/>
      <c r="D50" s="6"/>
      <c r="E50" s="6"/>
      <c r="F50" s="7"/>
    </row>
    <row r="51" spans="1:6" ht="19.5" customHeight="1" x14ac:dyDescent="0.3">
      <c r="A51" s="4"/>
      <c r="B51" s="4"/>
      <c r="C51" s="4"/>
      <c r="D51" s="4"/>
      <c r="E51" s="4"/>
      <c r="F51" s="5"/>
    </row>
    <row r="52" spans="1:6" ht="19.5" customHeight="1" x14ac:dyDescent="0.3">
      <c r="A52" s="6"/>
      <c r="B52" s="6"/>
      <c r="C52" s="6"/>
      <c r="D52" s="6"/>
      <c r="E52" s="6"/>
      <c r="F52" s="7"/>
    </row>
    <row r="53" spans="1:6" ht="19.5" customHeight="1" x14ac:dyDescent="0.3">
      <c r="A53" s="4"/>
      <c r="B53" s="4"/>
      <c r="C53" s="4"/>
      <c r="D53" s="4"/>
      <c r="E53" s="4"/>
      <c r="F53" s="5"/>
    </row>
    <row r="54" spans="1:6" ht="19.5" customHeight="1" x14ac:dyDescent="0.3">
      <c r="A54" s="6"/>
      <c r="B54" s="6"/>
      <c r="C54" s="6"/>
      <c r="D54" s="6"/>
      <c r="E54" s="6"/>
      <c r="F54" s="7"/>
    </row>
  </sheetData>
  <mergeCells count="2">
    <mergeCell ref="A1:F1"/>
    <mergeCell ref="A2:F2"/>
  </mergeCells>
  <dataValidations count="1">
    <dataValidation type="list" allowBlank="1" errorTitle="Situação inválida" error="Escolha uma situação da lista" promptTitle="Situação" prompt="Selecione a etapa atual" sqref="D5:D54" xr:uid="{00000000-0002-0000-0000-000000000000}">
      <formula1>"1 · Mensagem enviada,2 · Follow-up enviado,3 · Ligação (pivô),4 · Mensagem ao dono,5 · Ligação final,Respondeu,R1 marcada,R1 realizada,No-show,R2 marcada,Fechado,Não / Descartado,Depois (revisitar)"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0"/>
  <sheetViews>
    <sheetView showGridLines="0" zoomScaleNormal="100" workbookViewId="0"/>
  </sheetViews>
  <sheetFormatPr defaultColWidth="8.6640625" defaultRowHeight="14.4" x14ac:dyDescent="0.3"/>
  <cols>
    <col min="1" max="1" width="26" customWidth="1"/>
    <col min="2" max="2" width="14" customWidth="1"/>
  </cols>
  <sheetData>
    <row r="1" spans="1:4" ht="33.75" customHeight="1" x14ac:dyDescent="0.3">
      <c r="A1" s="2" t="s">
        <v>8</v>
      </c>
      <c r="B1" s="2"/>
      <c r="C1" s="2"/>
      <c r="D1" s="2"/>
    </row>
    <row r="3" spans="1:4" x14ac:dyDescent="0.3">
      <c r="A3" s="3" t="s">
        <v>5</v>
      </c>
      <c r="B3" s="3" t="s">
        <v>9</v>
      </c>
    </row>
    <row r="4" spans="1:4" x14ac:dyDescent="0.3">
      <c r="A4" s="8" t="s">
        <v>10</v>
      </c>
      <c r="B4" s="9">
        <f>COUNTIF(Pipeline!$D$5:$D$54,A4)</f>
        <v>0</v>
      </c>
    </row>
    <row r="5" spans="1:4" x14ac:dyDescent="0.3">
      <c r="A5" s="10" t="s">
        <v>11</v>
      </c>
      <c r="B5" s="11">
        <f>COUNTIF(Pipeline!$D$5:$D$54,A5)</f>
        <v>0</v>
      </c>
    </row>
    <row r="6" spans="1:4" x14ac:dyDescent="0.3">
      <c r="A6" s="8" t="s">
        <v>12</v>
      </c>
      <c r="B6" s="9">
        <f>COUNTIF(Pipeline!$D$5:$D$54,A6)</f>
        <v>0</v>
      </c>
    </row>
    <row r="7" spans="1:4" x14ac:dyDescent="0.3">
      <c r="A7" s="10" t="s">
        <v>13</v>
      </c>
      <c r="B7" s="11">
        <f>COUNTIF(Pipeline!$D$5:$D$54,A7)</f>
        <v>0</v>
      </c>
    </row>
    <row r="8" spans="1:4" x14ac:dyDescent="0.3">
      <c r="A8" s="8" t="s">
        <v>14</v>
      </c>
      <c r="B8" s="9">
        <f>COUNTIF(Pipeline!$D$5:$D$54,A8)</f>
        <v>0</v>
      </c>
    </row>
    <row r="9" spans="1:4" x14ac:dyDescent="0.3">
      <c r="A9" s="10" t="s">
        <v>15</v>
      </c>
      <c r="B9" s="11">
        <f>COUNTIF(Pipeline!$D$5:$D$54,A9)</f>
        <v>0</v>
      </c>
    </row>
    <row r="10" spans="1:4" x14ac:dyDescent="0.3">
      <c r="A10" s="8" t="s">
        <v>16</v>
      </c>
      <c r="B10" s="9">
        <f>COUNTIF(Pipeline!$D$5:$D$54,A10)</f>
        <v>0</v>
      </c>
    </row>
    <row r="11" spans="1:4" x14ac:dyDescent="0.3">
      <c r="A11" s="10" t="s">
        <v>17</v>
      </c>
      <c r="B11" s="11">
        <f>COUNTIF(Pipeline!$D$5:$D$54,A11)</f>
        <v>0</v>
      </c>
    </row>
    <row r="12" spans="1:4" x14ac:dyDescent="0.3">
      <c r="A12" s="8" t="s">
        <v>18</v>
      </c>
      <c r="B12" s="9">
        <f>COUNTIF(Pipeline!$D$5:$D$54,A12)</f>
        <v>0</v>
      </c>
    </row>
    <row r="13" spans="1:4" x14ac:dyDescent="0.3">
      <c r="A13" s="10" t="s">
        <v>19</v>
      </c>
      <c r="B13" s="11">
        <f>COUNTIF(Pipeline!$D$5:$D$54,A13)</f>
        <v>0</v>
      </c>
    </row>
    <row r="14" spans="1:4" x14ac:dyDescent="0.3">
      <c r="A14" s="8" t="s">
        <v>20</v>
      </c>
      <c r="B14" s="9">
        <f>COUNTIF(Pipeline!$D$5:$D$54,A14)</f>
        <v>0</v>
      </c>
    </row>
    <row r="15" spans="1:4" x14ac:dyDescent="0.3">
      <c r="A15" s="10" t="s">
        <v>21</v>
      </c>
      <c r="B15" s="11">
        <f>COUNTIF(Pipeline!$D$5:$D$54,A15)</f>
        <v>0</v>
      </c>
    </row>
    <row r="16" spans="1:4" x14ac:dyDescent="0.3">
      <c r="A16" s="8" t="s">
        <v>22</v>
      </c>
      <c r="B16" s="9">
        <f>COUNTIF(Pipeline!$D$5:$D$54,A16)</f>
        <v>0</v>
      </c>
    </row>
    <row r="18" spans="1:2" x14ac:dyDescent="0.3">
      <c r="A18" s="12" t="s">
        <v>23</v>
      </c>
      <c r="B18" s="13">
        <f>COUNTA(Pipeline!A5:A54)</f>
        <v>34</v>
      </c>
    </row>
    <row r="19" spans="1:2" x14ac:dyDescent="0.3">
      <c r="A19" s="14" t="s">
        <v>24</v>
      </c>
      <c r="B19" s="15">
        <f>IFERROR((B9+B10+B11+B12+B13+B14)/B18,0)</f>
        <v>0</v>
      </c>
    </row>
    <row r="20" spans="1:2" x14ac:dyDescent="0.3">
      <c r="A20" s="14" t="s">
        <v>25</v>
      </c>
      <c r="B20" s="15">
        <f>IFERROR(B12/(B10+B11+B12),0)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Pipeline</vt:lpstr>
      <vt:lpstr>Painel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Kaio Veiga</cp:lastModifiedBy>
  <cp:revision>1</cp:revision>
  <dcterms:created xsi:type="dcterms:W3CDTF">2026-06-22T18:13:51Z</dcterms:created>
  <dcterms:modified xsi:type="dcterms:W3CDTF">2026-06-22T18:42:51Z</dcterms:modified>
  <dc:language>en-US</dc:language>
</cp:coreProperties>
</file>