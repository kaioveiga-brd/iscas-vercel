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ios\.gemini\antigravity\scratch\iscas-vercel\"/>
    </mc:Choice>
  </mc:AlternateContent>
  <xr:revisionPtr revIDLastSave="0" documentId="13_ncr:1_{6DDDFA81-DE44-42A3-9059-1525AABB6DF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ipeline" sheetId="1" r:id="rId1"/>
    <sheet name="Pain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20" i="2" l="1"/>
  <c r="B19" i="2"/>
</calcChain>
</file>

<file path=xl/sharedStrings.xml><?xml version="1.0" encoding="utf-8"?>
<sst xmlns="http://schemas.openxmlformats.org/spreadsheetml/2006/main" count="425" uniqueCount="250">
  <si>
    <t>LEGADO · PIPELINE DE PROSPECÇÃO</t>
  </si>
  <si>
    <t>Atualize a Situação de cada prospect. Os números e o gráfico se ajustam sozinhos.</t>
  </si>
  <si>
    <t>Prospect</t>
  </si>
  <si>
    <t>Nicho</t>
  </si>
  <si>
    <t>Cidade</t>
  </si>
  <si>
    <t>Situação</t>
  </si>
  <si>
    <t>Próximo toque / Quando</t>
  </si>
  <si>
    <t>Detalhes (motivo do não, observações)</t>
  </si>
  <si>
    <t>Contato (WhatsApp)</t>
  </si>
  <si>
    <t>Instagram</t>
  </si>
  <si>
    <t>Abaporu Educacional</t>
  </si>
  <si>
    <t>Cursinho</t>
  </si>
  <si>
    <t>Rio Claro</t>
  </si>
  <si>
    <t>2 · Follow-up enviado</t>
  </si>
  <si>
    <t>(19) 98138-2107</t>
  </si>
  <si>
    <t>@abaporu.educacional</t>
  </si>
  <si>
    <t>Asset Inglês</t>
  </si>
  <si>
    <t>Idioma</t>
  </si>
  <si>
    <t>Indaiatuba</t>
  </si>
  <si>
    <t>Não / Descartado</t>
  </si>
  <si>
    <t>Ja tem Equipe</t>
  </si>
  <si>
    <t>(19) 3894-6650</t>
  </si>
  <si>
    <t>@inglesasset</t>
  </si>
  <si>
    <t>Believe Idiomas</t>
  </si>
  <si>
    <t>Mogi Mirim</t>
  </si>
  <si>
    <t>+55 19 3552-5292</t>
  </si>
  <si>
    <t>@believeidiomas</t>
  </si>
  <si>
    <t>Black White School</t>
  </si>
  <si>
    <t>(19) 99999-9999</t>
  </si>
  <si>
    <t>@school_black_white</t>
  </si>
  <si>
    <t>Curso Galileo</t>
  </si>
  <si>
    <t>Limeira</t>
  </si>
  <si>
    <t>(19) 3446-4330</t>
  </si>
  <si>
    <t>@cursogalileo</t>
  </si>
  <si>
    <t>D'Accord Idiomas</t>
  </si>
  <si>
    <t>Piracicaba</t>
  </si>
  <si>
    <t>(19) 98780-6738</t>
  </si>
  <si>
    <t>@idiomasdaccord</t>
  </si>
  <si>
    <t>E.W.E School</t>
  </si>
  <si>
    <t>Momento de fechamento, pediu pra conversar dps</t>
  </si>
  <si>
    <t>(19) 3422-4534</t>
  </si>
  <si>
    <t>@e.w.e.school</t>
  </si>
  <si>
    <t>English You</t>
  </si>
  <si>
    <t>Comercial enviou o material ao dono, Ricardo</t>
  </si>
  <si>
    <t>N/A</t>
  </si>
  <si>
    <t>@englishyoulimeira</t>
  </si>
  <si>
    <t>Exato Assessoria Estudantil</t>
  </si>
  <si>
    <t>Mogi Guaçu</t>
  </si>
  <si>
    <t>(19) 99706-2318</t>
  </si>
  <si>
    <t>@exatoassessoriaestudantil</t>
  </si>
  <si>
    <t>Exegese Idiomas</t>
  </si>
  <si>
    <t>+55 19 3806-1827</t>
  </si>
  <si>
    <t>@exegeseidiomas</t>
  </si>
  <si>
    <t>Apoio Vestibulinhos</t>
  </si>
  <si>
    <t>basicamente só dao aulas particulares, n conseguem crescer</t>
  </si>
  <si>
    <t>(19) 99784-3857</t>
  </si>
  <si>
    <t>@apoiovestibulinhos</t>
  </si>
  <si>
    <t>DO UP Escola de Idiomas</t>
  </si>
  <si>
    <t>(27) 9992...</t>
  </si>
  <si>
    <t>@doupvix</t>
  </si>
  <si>
    <t>Excellent Global Idiomas</t>
  </si>
  <si>
    <t>(19) 98783-7602</t>
  </si>
  <si>
    <t>@idiomas.eg</t>
  </si>
  <si>
    <t>London Center Idiomas</t>
  </si>
  <si>
    <t>@londoncenteridiomas</t>
  </si>
  <si>
    <t>Mogiana Cursos (Mogiana Vigilantes)</t>
  </si>
  <si>
    <t>Respondeu</t>
  </si>
  <si>
    <t>Passou para o setor responsável</t>
  </si>
  <si>
    <t>New Way Idiomas</t>
  </si>
  <si>
    <t>Araras</t>
  </si>
  <si>
    <t>(19) 3541-8080</t>
  </si>
  <si>
    <t>@new.wayidiomas</t>
  </si>
  <si>
    <t>Quick Idiomas</t>
  </si>
  <si>
    <t>Não encontrado</t>
  </si>
  <si>
    <t>@quick_idiomas</t>
  </si>
  <si>
    <t>Tonight Idiomas</t>
  </si>
  <si>
    <t>(19) 3034-9079</t>
  </si>
  <si>
    <t>@tonightidiomas</t>
  </si>
  <si>
    <t>Flexus Palavrizar</t>
  </si>
  <si>
    <t>(19) 99612-3099</t>
  </si>
  <si>
    <t>@flexuspalavrizar.rc</t>
  </si>
  <si>
    <t>Get Fluent English Center</t>
  </si>
  <si>
    <t>R1 marcada</t>
  </si>
  <si>
    <t>@getfluent.limeira</t>
  </si>
  <si>
    <t>Interchange Idiomas</t>
  </si>
  <si>
    <t>Não tiveram interesse</t>
  </si>
  <si>
    <t>(19) 3361-1080</t>
  </si>
  <si>
    <t>@interchangeidiomas</t>
  </si>
  <si>
    <t>Liberty Idiomas &amp; Informática</t>
  </si>
  <si>
    <t>+55 19 3806-4340</t>
  </si>
  <si>
    <t>@liberty.idiomas.informatica</t>
  </si>
  <si>
    <t>London English School</t>
  </si>
  <si>
    <t>Leme</t>
  </si>
  <si>
    <t>Mensagem nao chegou ao destinatario</t>
  </si>
  <si>
    <t>(19) 97802-9797</t>
  </si>
  <si>
    <t>@londonschoolon</t>
  </si>
  <si>
    <t>Michigan Idiomas</t>
  </si>
  <si>
    <t>(19) 3894-4881</t>
  </si>
  <si>
    <t>@michigan.indaiatuba</t>
  </si>
  <si>
    <t>Mundo Enem</t>
  </si>
  <si>
    <t>Bot de Atendimento</t>
  </si>
  <si>
    <t>(19) 3017-2097</t>
  </si>
  <si>
    <t>@mundoenem</t>
  </si>
  <si>
    <t>New Interchange</t>
  </si>
  <si>
    <t>Ja possuem Equipe</t>
  </si>
  <si>
    <t>+55 19 3862-1462</t>
  </si>
  <si>
    <t>@newinterchangemogimirim</t>
  </si>
  <si>
    <t>Progresso Vestibulares</t>
  </si>
  <si>
    <t>(19) 99987-8813</t>
  </si>
  <si>
    <t>@progressovestibulares</t>
  </si>
  <si>
    <t>Purrfect Idiomas</t>
  </si>
  <si>
    <t>(19) 99659-8575</t>
  </si>
  <si>
    <t>@purridiomas</t>
  </si>
  <si>
    <t>Sense Inglês (Sense Private Instruction)</t>
  </si>
  <si>
    <t>The House Piracicaba</t>
  </si>
  <si>
    <t>Demonstrou interesse, retornar em breve</t>
  </si>
  <si>
    <t>(19) 3432-8707</t>
  </si>
  <si>
    <t>@thehousepiracicaba</t>
  </si>
  <si>
    <t>The Way Idiomas</t>
  </si>
  <si>
    <t>(19) 99555-7232</t>
  </si>
  <si>
    <t>@thewayidiomas</t>
  </si>
  <si>
    <t>Why Not Institute</t>
  </si>
  <si>
    <t>Nao era o momento</t>
  </si>
  <si>
    <t>(19) 99079-0000</t>
  </si>
  <si>
    <t>@whynot_institute</t>
  </si>
  <si>
    <t>Curso Borges</t>
  </si>
  <si>
    <t>Campinas</t>
  </si>
  <si>
    <t>Falou de ver com a filha</t>
  </si>
  <si>
    <t>@cursoborges</t>
  </si>
  <si>
    <t>Excellent Global</t>
  </si>
  <si>
    <t>(19) 98191-3527</t>
  </si>
  <si>
    <t>@eg_rioclaro</t>
  </si>
  <si>
    <t>LEGADO · PAINEL DO FUNIL</t>
  </si>
  <si>
    <t>Quantidade</t>
  </si>
  <si>
    <t>1 · Mensagem enviada</t>
  </si>
  <si>
    <t>3 · Ligação (pivô)</t>
  </si>
  <si>
    <t>4 · Mensagem ao dono</t>
  </si>
  <si>
    <t>5 · Ligação final</t>
  </si>
  <si>
    <t>R1 realizada</t>
  </si>
  <si>
    <t>No-show</t>
  </si>
  <si>
    <t>R2 marcada</t>
  </si>
  <si>
    <t>Fechado</t>
  </si>
  <si>
    <t>Depois (revisitar)</t>
  </si>
  <si>
    <t>Total prospects</t>
  </si>
  <si>
    <t>Taxa de resposta</t>
  </si>
  <si>
    <t>Taxa de no-show</t>
  </si>
  <si>
    <t>Call Idiomas</t>
  </si>
  <si>
    <t>Itatiba</t>
  </si>
  <si>
    <t>(11) 93264-3661</t>
  </si>
  <si>
    <t>@call_idiomas</t>
  </si>
  <si>
    <t>Verbal Language</t>
  </si>
  <si>
    <t>Valinhos</t>
  </si>
  <si>
    <t>(19) 99280-7484</t>
  </si>
  <si>
    <t>@inglesdavidarealof</t>
  </si>
  <si>
    <t>Gather Centro de Ensino</t>
  </si>
  <si>
    <t>Vinhedo</t>
  </si>
  <si>
    <t>@gatherensino</t>
  </si>
  <si>
    <t>GlobalComm Language Solutions</t>
  </si>
  <si>
    <t>(19) 99940-2071</t>
  </si>
  <si>
    <t>@globalcommls</t>
  </si>
  <si>
    <t>CNESIS Aprimoramento de Estudos</t>
  </si>
  <si>
    <t>(19) 99172-1244</t>
  </si>
  <si>
    <t>@cnesis</t>
  </si>
  <si>
    <t>Eagle School</t>
  </si>
  <si>
    <t>Capivari</t>
  </si>
  <si>
    <t>(19) 3491-3863</t>
  </si>
  <si>
    <t>@eagleschoolcapivari</t>
  </si>
  <si>
    <t>IYEnglish (Improve Your English)</t>
  </si>
  <si>
    <t>Alessandra respondeu achando interessante.</t>
  </si>
  <si>
    <t>(11) 96412-1110</t>
  </si>
  <si>
    <t>@iyenglish_idiomas</t>
  </si>
  <si>
    <t>Open Access - English School</t>
  </si>
  <si>
    <t>(19) 99150-3025</t>
  </si>
  <si>
    <t>@openaccess.school</t>
  </si>
  <si>
    <t>Bright Language School</t>
  </si>
  <si>
    <t>(19) 99143-5030</t>
  </si>
  <si>
    <t>@brightlanguageschool</t>
  </si>
  <si>
    <t>Target Language Center (TLC Idiomas)</t>
  </si>
  <si>
    <t>Itu</t>
  </si>
  <si>
    <t>(11) 4013-0481</t>
  </si>
  <si>
    <t>@target_idiomas</t>
  </si>
  <si>
    <t>Global School</t>
  </si>
  <si>
    <t>Salto</t>
  </si>
  <si>
    <t>(11) 4456-1120</t>
  </si>
  <si>
    <t>@globalschoolsalto</t>
  </si>
  <si>
    <t>Instituto Cultural Iberoamericano (ICI)</t>
  </si>
  <si>
    <t>(11) 4534-2518</t>
  </si>
  <si>
    <t>@iciitatiba</t>
  </si>
  <si>
    <t>Escola Hispano-Americana</t>
  </si>
  <si>
    <t>(11) 2429-8514</t>
  </si>
  <si>
    <t>@hispanoamericanaidiomas</t>
  </si>
  <si>
    <t>LSC Callan Valinhos</t>
  </si>
  <si>
    <t>(19) 98154-1297</t>
  </si>
  <si>
    <t>@lsc.callanvalinhos</t>
  </si>
  <si>
    <t>Dreams School</t>
  </si>
  <si>
    <t>(19) 98136-8860</t>
  </si>
  <si>
    <t>@dreamsschool.idiomas</t>
  </si>
  <si>
    <t>Tic Tac School</t>
  </si>
  <si>
    <t>(11) 91639-6965</t>
  </si>
  <si>
    <t>@tic.tac_school</t>
  </si>
  <si>
    <t>Maquifísica</t>
  </si>
  <si>
    <t>Araraquara</t>
  </si>
  <si>
    <t>(16) 3333-1234</t>
  </si>
  <si>
    <t>@maquifisica</t>
  </si>
  <si>
    <t>Alcance Pré-Vestibular</t>
  </si>
  <si>
    <t>(16) 3322-5678</t>
  </si>
  <si>
    <t>@alcanceprevestibular</t>
  </si>
  <si>
    <t>Curso e Colégio Uni</t>
  </si>
  <si>
    <t>São Carlos</t>
  </si>
  <si>
    <t>(16) 3372-4321</t>
  </si>
  <si>
    <t>@cursouni</t>
  </si>
  <si>
    <t>Curso Flexus</t>
  </si>
  <si>
    <t>(16) 3413-5566</t>
  </si>
  <si>
    <t>@cursoflexus</t>
  </si>
  <si>
    <t>Mais Vestibulares</t>
  </si>
  <si>
    <t>Franca</t>
  </si>
  <si>
    <t>(16) 3721-6677</t>
  </si>
  <si>
    <t>@maisvestibulares</t>
  </si>
  <si>
    <t>Novo Colégio Franca (Cursinho)</t>
  </si>
  <si>
    <t>(16) 3711-8899</t>
  </si>
  <si>
    <t>@novocolegio</t>
  </si>
  <si>
    <t>Jack and Jill English</t>
  </si>
  <si>
    <t>Ribeirão Preto</t>
  </si>
  <si>
    <t>(16) 3623-1122</t>
  </si>
  <si>
    <t>@jackandjillenglish</t>
  </si>
  <si>
    <t>Golden Bear Idiomas</t>
  </si>
  <si>
    <t>(16) 3620-5566</t>
  </si>
  <si>
    <t>@goldenbearidiomas</t>
  </si>
  <si>
    <t>Upper English</t>
  </si>
  <si>
    <t>(16) 3374-9000</t>
  </si>
  <si>
    <t>@upperenglish</t>
  </si>
  <si>
    <t>For All English</t>
  </si>
  <si>
    <t>(16) 3368-2020</t>
  </si>
  <si>
    <t>@forallenglish</t>
  </si>
  <si>
    <t>Deeper Idiomas</t>
  </si>
  <si>
    <t>(16) 3416-8800</t>
  </si>
  <si>
    <t>@deeperidiomas</t>
  </si>
  <si>
    <t>Trinity English School</t>
  </si>
  <si>
    <t>(16) 3331-5050</t>
  </si>
  <si>
    <t>@trinityenglishschool</t>
  </si>
  <si>
    <t>Even Flow</t>
  </si>
  <si>
    <t>(16) 3332-9090</t>
  </si>
  <si>
    <t>@evenflowidiomas</t>
  </si>
  <si>
    <t>CCBEU Franca</t>
  </si>
  <si>
    <t>(16) 3722-1212</t>
  </si>
  <si>
    <t>@ccbeufranca</t>
  </si>
  <si>
    <t>não verificado</t>
  </si>
  <si>
    <t>Paulínia</t>
  </si>
  <si>
    <t>Carla respondeu, diz que não quer crescer pra não perder qualidade.</t>
  </si>
  <si>
    <t>Hortolândia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</si>
</sst>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"/>
    <numFmt numFmtId="165" formatCode="d/m"/>
    <numFmt numFmtId="166" formatCode="dd/mm"/>
    <numFmt numFmtId="167" formatCode="d/m/yy"/>
    <numFmt numFmtId="168" formatCode="0.0%"/>
  </numFmts>
  <fonts count="10" x14ac:knownFonts="1">
    <font>
      <sz val="11"/>
      <color theme="1"/>
      <name val="Calibri"/>
      <scheme val="minor"/>
    </font>
    <font>
      <b/>
      <sz val="15"/>
      <color rgb="FFF5F1EB"/>
      <name val="Arial"/>
    </font>
    <font>
      <sz val="11"/>
      <name val="Calibri"/>
    </font>
    <font>
      <i/>
      <sz val="9"/>
      <color rgb="FF8A8170"/>
      <name val="Arial"/>
    </font>
    <font>
      <b/>
      <sz val="10"/>
      <color rgb="FFF5F1EB"/>
      <name val="Arial"/>
    </font>
    <font>
      <sz val="11"/>
      <color theme="1"/>
      <name val="Calibri"/>
      <scheme val="minor"/>
    </font>
    <font>
      <sz val="10"/>
      <color rgb="FF1C1A17"/>
      <name val="Arial"/>
    </font>
    <font>
      <b/>
      <sz val="10"/>
      <color rgb="FF1C1A17"/>
      <name val="Arial"/>
    </font>
    <font>
      <sz val="10"/>
      <color rgb="FF8A8170"/>
      <name val="Arial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C1A17"/>
        <bgColor rgb="FF1C1A17"/>
      </patternFill>
    </fill>
    <fill>
      <patternFill patternType="solid">
        <fgColor rgb="FFF5F1EB"/>
        <bgColor rgb="FFF5F1EB"/>
      </patternFill>
    </fill>
    <fill>
      <patternFill patternType="solid">
        <fgColor rgb="FFFFFFFF"/>
        <bgColor rgb="FFFFFFFF"/>
      </patternFill>
    </fill>
    <fill>
      <patternFill patternType="solid">
        <fgColor rgb="FFFFF275"/>
        <bgColor rgb="FFFFFFFF"/>
      </patternFill>
    </fill>
    <fill>
      <patternFill patternType="solid">
        <fgColor rgb="FFB2F7EF"/>
        <bgColor rgb="FFF5F1EB"/>
      </patternFill>
    </fill>
    <fill>
      <patternFill patternType="solid">
        <fgColor rgb="FFEAEAEA"/>
        <bgColor rgb="FFFFFFFF"/>
      </patternFill>
    </fill>
    <fill>
      <patternFill patternType="solid">
        <fgColor rgb="FFEAEAEA"/>
        <bgColor rgb="FFF5F1EB"/>
      </patternFill>
    </fill>
    <fill>
      <patternFill patternType="solid">
        <fgColor rgb="FFFFF275"/>
        <bgColor rgb="FFF5F1EB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2D8C4"/>
      </left>
      <right style="thin">
        <color rgb="FFE2D8C4"/>
      </right>
      <top style="thin">
        <color rgb="FFE2D8C4"/>
      </top>
      <bottom style="thin">
        <color rgb="FFE2D8C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2" borderId="4" xfId="0" applyFont="1" applyFill="1" applyBorder="1" applyAlignment="1">
      <alignment horizontal="left" vertical="center"/>
    </xf>
    <xf numFmtId="0" fontId="5" fillId="0" borderId="0" xfId="0" applyFont="1"/>
    <xf numFmtId="0" fontId="6" fillId="4" borderId="5" xfId="0" applyFont="1" applyFill="1" applyBorder="1" applyAlignment="1">
      <alignment horizontal="left" vertical="center"/>
    </xf>
    <xf numFmtId="164" fontId="6" fillId="4" borderId="5" xfId="0" applyNumberFormat="1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/>
    </xf>
    <xf numFmtId="165" fontId="6" fillId="4" borderId="5" xfId="0" applyNumberFormat="1" applyFont="1" applyFill="1" applyBorder="1" applyAlignment="1">
      <alignment horizontal="left" vertical="center"/>
    </xf>
    <xf numFmtId="166" fontId="6" fillId="4" borderId="5" xfId="0" applyNumberFormat="1" applyFont="1" applyFill="1" applyBorder="1" applyAlignment="1">
      <alignment horizontal="left" vertical="center"/>
    </xf>
    <xf numFmtId="167" fontId="6" fillId="3" borderId="5" xfId="0" applyNumberFormat="1" applyFont="1" applyFill="1" applyBorder="1" applyAlignment="1">
      <alignment horizontal="left" vertical="center"/>
    </xf>
    <xf numFmtId="167" fontId="6" fillId="4" borderId="5" xfId="0" applyNumberFormat="1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168" fontId="9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Distribuição do funil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Painel!$B$3</c:f>
              <c:strCache>
                <c:ptCount val="1"/>
                <c:pt idx="0">
                  <c:v>Quantidade</c:v>
                </c:pt>
              </c:strCache>
            </c:strRef>
          </c:tx>
          <c:dPt>
            <c:idx val="0"/>
            <c:bubble3D val="0"/>
            <c:spPr>
              <a:solidFill>
                <a:srgbClr val="416A9C"/>
              </a:solidFill>
            </c:spPr>
            <c:extLst>
              <c:ext xmlns:c16="http://schemas.microsoft.com/office/drawing/2014/chart" uri="{C3380CC4-5D6E-409C-BE32-E72D297353CC}">
                <c16:uniqueId val="{00000001-4B5B-459F-B4CC-F4CC96F75090}"/>
              </c:ext>
            </c:extLst>
          </c:dPt>
          <c:dPt>
            <c:idx val="1"/>
            <c:bubble3D val="0"/>
            <c:spPr>
              <a:solidFill>
                <a:srgbClr val="9F423F"/>
              </a:solidFill>
            </c:spPr>
            <c:extLst>
              <c:ext xmlns:c16="http://schemas.microsoft.com/office/drawing/2014/chart" uri="{C3380CC4-5D6E-409C-BE32-E72D297353CC}">
                <c16:uniqueId val="{00000003-4B5B-459F-B4CC-F4CC96F75090}"/>
              </c:ext>
            </c:extLst>
          </c:dPt>
          <c:dPt>
            <c:idx val="2"/>
            <c:bubble3D val="0"/>
            <c:spPr>
              <a:solidFill>
                <a:srgbClr val="809B49"/>
              </a:solidFill>
            </c:spPr>
            <c:extLst>
              <c:ext xmlns:c16="http://schemas.microsoft.com/office/drawing/2014/chart" uri="{C3380CC4-5D6E-409C-BE32-E72D297353CC}">
                <c16:uniqueId val="{00000005-4B5B-459F-B4CC-F4CC96F75090}"/>
              </c:ext>
            </c:extLst>
          </c:dPt>
          <c:dPt>
            <c:idx val="3"/>
            <c:bubble3D val="0"/>
            <c:spPr>
              <a:solidFill>
                <a:srgbClr val="6A5286"/>
              </a:solidFill>
            </c:spPr>
            <c:extLst>
              <c:ext xmlns:c16="http://schemas.microsoft.com/office/drawing/2014/chart" uri="{C3380CC4-5D6E-409C-BE32-E72D297353CC}">
                <c16:uniqueId val="{00000007-4B5B-459F-B4CC-F4CC96F75090}"/>
              </c:ext>
            </c:extLst>
          </c:dPt>
          <c:dPt>
            <c:idx val="4"/>
            <c:bubble3D val="0"/>
            <c:spPr>
              <a:solidFill>
                <a:srgbClr val="3E8EA4"/>
              </a:solidFill>
            </c:spPr>
            <c:extLst>
              <c:ext xmlns:c16="http://schemas.microsoft.com/office/drawing/2014/chart" uri="{C3380CC4-5D6E-409C-BE32-E72D297353CC}">
                <c16:uniqueId val="{00000009-4B5B-459F-B4CC-F4CC96F75090}"/>
              </c:ext>
            </c:extLst>
          </c:dPt>
          <c:dPt>
            <c:idx val="5"/>
            <c:bubble3D val="0"/>
            <c:spPr>
              <a:solidFill>
                <a:srgbClr val="CC7C3A"/>
              </a:solidFill>
            </c:spPr>
            <c:extLst>
              <c:ext xmlns:c16="http://schemas.microsoft.com/office/drawing/2014/chart" uri="{C3380CC4-5D6E-409C-BE32-E72D297353CC}">
                <c16:uniqueId val="{0000000B-4B5B-459F-B4CC-F4CC96F75090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4B5B-459F-B4CC-F4CC96F75090}"/>
              </c:ext>
            </c:extLst>
          </c:dPt>
          <c:dPt>
            <c:idx val="7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F-4B5B-459F-B4CC-F4CC96F75090}"/>
              </c:ext>
            </c:extLst>
          </c:dPt>
          <c:dPt>
            <c:idx val="8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11-4B5B-459F-B4CC-F4CC96F75090}"/>
              </c:ext>
            </c:extLst>
          </c:dPt>
          <c:dPt>
            <c:idx val="9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13-4B5B-459F-B4CC-F4CC96F75090}"/>
              </c:ext>
            </c:extLst>
          </c:dPt>
          <c:dPt>
            <c:idx val="10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15-4B5B-459F-B4CC-F4CC96F75090}"/>
              </c:ext>
            </c:extLst>
          </c:dPt>
          <c:dPt>
            <c:idx val="11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17-4B5B-459F-B4CC-F4CC96F75090}"/>
              </c:ext>
            </c:extLst>
          </c:dPt>
          <c:dPt>
            <c:idx val="12"/>
            <c:bubble3D val="0"/>
            <c:spPr>
              <a:solidFill>
                <a:srgbClr val="AABAD7"/>
              </a:solidFill>
            </c:spPr>
            <c:extLst>
              <c:ext xmlns:c16="http://schemas.microsoft.com/office/drawing/2014/chart" uri="{C3380CC4-5D6E-409C-BE32-E72D297353CC}">
                <c16:uniqueId val="{00000019-4B5B-459F-B4CC-F4CC96F75090}"/>
              </c:ext>
            </c:extLst>
          </c:dPt>
          <c:cat>
            <c:strRef>
              <c:f>Painel!$A$4:$A$16</c:f>
              <c:strCache>
                <c:ptCount val="13"/>
                <c:pt idx="0">
                  <c:v>1 · Mensagem enviada</c:v>
                </c:pt>
                <c:pt idx="1">
                  <c:v>2 · Follow-up enviado</c:v>
                </c:pt>
                <c:pt idx="2">
                  <c:v>3 · Ligação (pivô)</c:v>
                </c:pt>
                <c:pt idx="3">
                  <c:v>4 · Mensagem ao dono</c:v>
                </c:pt>
                <c:pt idx="4">
                  <c:v>5 · Ligação final</c:v>
                </c:pt>
                <c:pt idx="5">
                  <c:v>Respondeu</c:v>
                </c:pt>
                <c:pt idx="6">
                  <c:v>R1 marcada</c:v>
                </c:pt>
                <c:pt idx="7">
                  <c:v>R1 realizada</c:v>
                </c:pt>
                <c:pt idx="8">
                  <c:v>No-show</c:v>
                </c:pt>
                <c:pt idx="9">
                  <c:v>R2 marcada</c:v>
                </c:pt>
                <c:pt idx="10">
                  <c:v>Fechado</c:v>
                </c:pt>
                <c:pt idx="11">
                  <c:v>Não / Descartado</c:v>
                </c:pt>
                <c:pt idx="12">
                  <c:v>Depois (revisitar)</c:v>
                </c:pt>
              </c:strCache>
            </c:strRef>
          </c:cat>
          <c:val>
            <c:numRef>
              <c:f>Painel!$B$4:$B$16</c:f>
              <c:numCache>
                <c:formatCode>General</c:formatCode>
                <c:ptCount val="13"/>
                <c:pt idx="0">
                  <c:v>28</c:v>
                </c:pt>
                <c:pt idx="1">
                  <c:v>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B5B-459F-B4CC-F4CC96F75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810250" cy="3762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tabSelected="1" topLeftCell="A38" workbookViewId="0">
      <selection activeCell="A55" sqref="A55:H68"/>
    </sheetView>
  </sheetViews>
  <sheetFormatPr defaultColWidth="14.42578125" defaultRowHeight="15" customHeight="1" x14ac:dyDescent="0.25"/>
  <cols>
    <col min="1" max="1" width="26" customWidth="1"/>
    <col min="2" max="2" width="14" customWidth="1"/>
    <col min="3" max="3" width="16" customWidth="1"/>
    <col min="4" max="4" width="24" customWidth="1"/>
    <col min="5" max="5" width="26" customWidth="1"/>
    <col min="6" max="6" width="46" customWidth="1"/>
    <col min="7" max="26" width="8.7109375" customWidth="1"/>
  </cols>
  <sheetData>
    <row r="1" spans="1:8" ht="33.75" customHeight="1" x14ac:dyDescent="0.25">
      <c r="A1" s="26" t="s">
        <v>0</v>
      </c>
      <c r="B1" s="27"/>
      <c r="C1" s="27"/>
      <c r="D1" s="27"/>
      <c r="E1" s="27"/>
      <c r="F1" s="28"/>
    </row>
    <row r="2" spans="1:8" ht="19.5" customHeight="1" x14ac:dyDescent="0.25">
      <c r="A2" s="29" t="s">
        <v>1</v>
      </c>
      <c r="B2" s="27"/>
      <c r="C2" s="27"/>
      <c r="D2" s="27"/>
      <c r="E2" s="27"/>
      <c r="F2" s="28"/>
    </row>
    <row r="3" spans="1:8" ht="14.25" customHeight="1" x14ac:dyDescent="0.25"/>
    <row r="4" spans="1:8" ht="25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8</v>
      </c>
      <c r="H4" s="2" t="s">
        <v>9</v>
      </c>
    </row>
    <row r="5" spans="1:8" ht="19.5" customHeight="1" x14ac:dyDescent="0.25">
      <c r="A5" s="3" t="s">
        <v>10</v>
      </c>
      <c r="B5" s="3" t="s">
        <v>11</v>
      </c>
      <c r="C5" s="3" t="s">
        <v>12</v>
      </c>
      <c r="D5" s="20" t="s">
        <v>13</v>
      </c>
      <c r="E5" s="4">
        <v>46192</v>
      </c>
      <c r="F5" s="5"/>
      <c r="G5" s="2" t="s">
        <v>14</v>
      </c>
      <c r="H5" s="2" t="s">
        <v>15</v>
      </c>
    </row>
    <row r="6" spans="1:8" ht="19.5" customHeight="1" x14ac:dyDescent="0.25">
      <c r="A6" s="6" t="s">
        <v>16</v>
      </c>
      <c r="B6" s="6" t="s">
        <v>17</v>
      </c>
      <c r="C6" s="6" t="s">
        <v>18</v>
      </c>
      <c r="D6" s="20" t="s">
        <v>19</v>
      </c>
      <c r="E6" s="6"/>
      <c r="F6" s="7" t="s">
        <v>20</v>
      </c>
      <c r="G6" s="2" t="s">
        <v>21</v>
      </c>
      <c r="H6" s="2" t="s">
        <v>22</v>
      </c>
    </row>
    <row r="7" spans="1:8" ht="19.5" customHeight="1" x14ac:dyDescent="0.25">
      <c r="A7" s="3" t="s">
        <v>23</v>
      </c>
      <c r="B7" s="3" t="s">
        <v>17</v>
      </c>
      <c r="C7" s="3" t="s">
        <v>24</v>
      </c>
      <c r="D7" s="20" t="s">
        <v>13</v>
      </c>
      <c r="E7" s="8">
        <v>46199</v>
      </c>
      <c r="F7" s="5"/>
      <c r="G7" s="2" t="s">
        <v>25</v>
      </c>
      <c r="H7" s="2" t="s">
        <v>26</v>
      </c>
    </row>
    <row r="8" spans="1:8" ht="19.5" customHeight="1" x14ac:dyDescent="0.25">
      <c r="A8" s="6" t="s">
        <v>27</v>
      </c>
      <c r="B8" s="6" t="s">
        <v>17</v>
      </c>
      <c r="C8" s="6" t="s">
        <v>18</v>
      </c>
      <c r="D8" s="20" t="s">
        <v>19</v>
      </c>
      <c r="E8" s="6"/>
      <c r="F8" s="7" t="s">
        <v>20</v>
      </c>
      <c r="G8" s="2" t="s">
        <v>28</v>
      </c>
      <c r="H8" s="2" t="s">
        <v>29</v>
      </c>
    </row>
    <row r="9" spans="1:8" ht="19.5" customHeight="1" x14ac:dyDescent="0.25">
      <c r="A9" s="3" t="s">
        <v>30</v>
      </c>
      <c r="B9" s="3" t="s">
        <v>11</v>
      </c>
      <c r="C9" s="3" t="s">
        <v>31</v>
      </c>
      <c r="D9" s="20" t="s">
        <v>13</v>
      </c>
      <c r="E9" s="4">
        <v>46197</v>
      </c>
      <c r="F9" s="5"/>
      <c r="G9" s="2" t="s">
        <v>32</v>
      </c>
      <c r="H9" s="2" t="s">
        <v>33</v>
      </c>
    </row>
    <row r="10" spans="1:8" ht="19.5" customHeight="1" x14ac:dyDescent="0.25">
      <c r="A10" s="6" t="s">
        <v>34</v>
      </c>
      <c r="B10" s="6" t="s">
        <v>17</v>
      </c>
      <c r="C10" s="6" t="s">
        <v>35</v>
      </c>
      <c r="D10" s="20" t="s">
        <v>13</v>
      </c>
      <c r="E10" s="4">
        <v>46197</v>
      </c>
      <c r="F10" s="7"/>
      <c r="G10" s="2" t="s">
        <v>36</v>
      </c>
      <c r="H10" s="2" t="s">
        <v>37</v>
      </c>
    </row>
    <row r="11" spans="1:8" ht="19.5" customHeight="1" x14ac:dyDescent="0.25">
      <c r="A11" s="3" t="s">
        <v>38</v>
      </c>
      <c r="B11" s="3" t="s">
        <v>17</v>
      </c>
      <c r="C11" s="3" t="s">
        <v>35</v>
      </c>
      <c r="D11" s="20" t="s">
        <v>13</v>
      </c>
      <c r="E11" s="9">
        <v>46208</v>
      </c>
      <c r="F11" s="5" t="s">
        <v>39</v>
      </c>
      <c r="G11" s="2" t="s">
        <v>40</v>
      </c>
      <c r="H11" s="2" t="s">
        <v>41</v>
      </c>
    </row>
    <row r="12" spans="1:8" ht="19.5" customHeight="1" x14ac:dyDescent="0.25">
      <c r="A12" s="6" t="s">
        <v>42</v>
      </c>
      <c r="B12" s="6" t="s">
        <v>17</v>
      </c>
      <c r="C12" s="6" t="s">
        <v>31</v>
      </c>
      <c r="D12" s="20" t="s">
        <v>13</v>
      </c>
      <c r="E12" s="10">
        <v>46197</v>
      </c>
      <c r="F12" s="7" t="s">
        <v>43</v>
      </c>
      <c r="G12" s="2" t="s">
        <v>44</v>
      </c>
      <c r="H12" s="2" t="s">
        <v>45</v>
      </c>
    </row>
    <row r="13" spans="1:8" ht="19.5" customHeight="1" x14ac:dyDescent="0.25">
      <c r="A13" s="3" t="s">
        <v>46</v>
      </c>
      <c r="B13" s="3" t="s">
        <v>11</v>
      </c>
      <c r="C13" s="3" t="s">
        <v>47</v>
      </c>
      <c r="D13" s="20" t="s">
        <v>13</v>
      </c>
      <c r="E13" s="11">
        <v>46197</v>
      </c>
      <c r="F13" s="5"/>
      <c r="G13" s="2" t="s">
        <v>48</v>
      </c>
      <c r="H13" s="2" t="s">
        <v>49</v>
      </c>
    </row>
    <row r="14" spans="1:8" ht="19.5" customHeight="1" x14ac:dyDescent="0.25">
      <c r="A14" s="6" t="s">
        <v>50</v>
      </c>
      <c r="B14" s="6" t="s">
        <v>17</v>
      </c>
      <c r="C14" s="6" t="s">
        <v>24</v>
      </c>
      <c r="D14" s="20" t="s">
        <v>13</v>
      </c>
      <c r="E14" s="10">
        <v>46199</v>
      </c>
      <c r="F14" s="7"/>
      <c r="G14" s="2" t="s">
        <v>51</v>
      </c>
      <c r="H14" s="2" t="s">
        <v>52</v>
      </c>
    </row>
    <row r="15" spans="1:8" ht="19.5" customHeight="1" x14ac:dyDescent="0.25">
      <c r="A15" s="3" t="s">
        <v>53</v>
      </c>
      <c r="B15" s="3" t="s">
        <v>11</v>
      </c>
      <c r="C15" s="3" t="s">
        <v>31</v>
      </c>
      <c r="D15" s="20" t="s">
        <v>19</v>
      </c>
      <c r="E15" s="11">
        <v>46197</v>
      </c>
      <c r="F15" s="5" t="s">
        <v>54</v>
      </c>
      <c r="G15" s="2" t="s">
        <v>55</v>
      </c>
      <c r="H15" s="2" t="s">
        <v>56</v>
      </c>
    </row>
    <row r="16" spans="1:8" ht="19.5" customHeight="1" x14ac:dyDescent="0.25">
      <c r="A16" s="6" t="s">
        <v>57</v>
      </c>
      <c r="B16" s="6" t="s">
        <v>17</v>
      </c>
      <c r="C16" s="6" t="s">
        <v>12</v>
      </c>
      <c r="D16" s="20" t="s">
        <v>13</v>
      </c>
      <c r="E16" s="10">
        <v>46199</v>
      </c>
      <c r="F16" s="7"/>
      <c r="G16" s="2" t="s">
        <v>58</v>
      </c>
      <c r="H16" s="2" t="s">
        <v>59</v>
      </c>
    </row>
    <row r="17" spans="1:8" ht="19.5" customHeight="1" x14ac:dyDescent="0.25">
      <c r="A17" s="3" t="s">
        <v>60</v>
      </c>
      <c r="B17" s="3" t="s">
        <v>17</v>
      </c>
      <c r="C17" s="3" t="s">
        <v>31</v>
      </c>
      <c r="D17" s="20" t="s">
        <v>13</v>
      </c>
      <c r="E17" s="10">
        <v>46199</v>
      </c>
      <c r="F17" s="5"/>
      <c r="G17" s="2" t="s">
        <v>61</v>
      </c>
      <c r="H17" s="2" t="s">
        <v>62</v>
      </c>
    </row>
    <row r="18" spans="1:8" ht="19.5" customHeight="1" x14ac:dyDescent="0.25">
      <c r="A18" s="6" t="s">
        <v>63</v>
      </c>
      <c r="B18" s="6" t="s">
        <v>17</v>
      </c>
      <c r="C18" s="6" t="s">
        <v>31</v>
      </c>
      <c r="D18" s="20" t="s">
        <v>13</v>
      </c>
      <c r="E18" s="10">
        <v>46199</v>
      </c>
      <c r="F18" s="7"/>
      <c r="G18" s="2" t="s">
        <v>44</v>
      </c>
      <c r="H18" s="2" t="s">
        <v>64</v>
      </c>
    </row>
    <row r="19" spans="1:8" ht="19.5" customHeight="1" x14ac:dyDescent="0.25">
      <c r="A19" s="3" t="s">
        <v>65</v>
      </c>
      <c r="B19" s="3" t="s">
        <v>17</v>
      </c>
      <c r="C19" s="3" t="s">
        <v>12</v>
      </c>
      <c r="D19" s="21" t="s">
        <v>66</v>
      </c>
      <c r="E19" s="10">
        <v>46199</v>
      </c>
      <c r="F19" s="5" t="s">
        <v>67</v>
      </c>
      <c r="G19" s="2" t="s">
        <v>44</v>
      </c>
    </row>
    <row r="20" spans="1:8" ht="19.5" customHeight="1" x14ac:dyDescent="0.25">
      <c r="A20" s="6" t="s">
        <v>68</v>
      </c>
      <c r="B20" s="6" t="s">
        <v>17</v>
      </c>
      <c r="C20" s="6" t="s">
        <v>69</v>
      </c>
      <c r="D20" s="20" t="s">
        <v>13</v>
      </c>
      <c r="E20" s="11">
        <v>46197</v>
      </c>
      <c r="F20" s="7"/>
      <c r="G20" s="2" t="s">
        <v>70</v>
      </c>
      <c r="H20" s="2" t="s">
        <v>71</v>
      </c>
    </row>
    <row r="21" spans="1:8" ht="19.5" customHeight="1" x14ac:dyDescent="0.25">
      <c r="A21" s="3" t="s">
        <v>72</v>
      </c>
      <c r="B21" s="3" t="s">
        <v>17</v>
      </c>
      <c r="C21" s="3" t="s">
        <v>47</v>
      </c>
      <c r="D21" s="20" t="s">
        <v>13</v>
      </c>
      <c r="E21" s="11">
        <v>46197</v>
      </c>
      <c r="F21" s="5"/>
      <c r="G21" s="2" t="s">
        <v>73</v>
      </c>
      <c r="H21" s="2" t="s">
        <v>74</v>
      </c>
    </row>
    <row r="22" spans="1:8" ht="19.5" customHeight="1" x14ac:dyDescent="0.25">
      <c r="A22" s="6" t="s">
        <v>75</v>
      </c>
      <c r="B22" s="6" t="s">
        <v>17</v>
      </c>
      <c r="C22" s="6" t="s">
        <v>31</v>
      </c>
      <c r="D22" s="20" t="s">
        <v>13</v>
      </c>
      <c r="E22" s="11">
        <v>46197</v>
      </c>
      <c r="F22" s="7"/>
      <c r="G22" s="2" t="s">
        <v>76</v>
      </c>
      <c r="H22" s="2" t="s">
        <v>77</v>
      </c>
    </row>
    <row r="23" spans="1:8" ht="19.5" customHeight="1" x14ac:dyDescent="0.25">
      <c r="A23" s="3" t="s">
        <v>78</v>
      </c>
      <c r="B23" s="3" t="s">
        <v>11</v>
      </c>
      <c r="C23" s="3" t="s">
        <v>12</v>
      </c>
      <c r="D23" s="20" t="s">
        <v>13</v>
      </c>
      <c r="E23" s="11">
        <v>46197</v>
      </c>
      <c r="F23" s="5"/>
      <c r="G23" s="2" t="s">
        <v>79</v>
      </c>
      <c r="H23" s="2" t="s">
        <v>80</v>
      </c>
    </row>
    <row r="24" spans="1:8" ht="19.5" customHeight="1" x14ac:dyDescent="0.25">
      <c r="A24" s="6" t="s">
        <v>81</v>
      </c>
      <c r="B24" s="6" t="s">
        <v>17</v>
      </c>
      <c r="C24" s="6" t="s">
        <v>31</v>
      </c>
      <c r="D24" s="22" t="s">
        <v>82</v>
      </c>
      <c r="E24" s="10">
        <v>46198</v>
      </c>
      <c r="F24" s="7"/>
      <c r="G24" s="2" t="s">
        <v>44</v>
      </c>
      <c r="H24" s="2" t="s">
        <v>83</v>
      </c>
    </row>
    <row r="25" spans="1:8" ht="19.5" customHeight="1" x14ac:dyDescent="0.25">
      <c r="A25" s="3" t="s">
        <v>84</v>
      </c>
      <c r="B25" s="3" t="s">
        <v>17</v>
      </c>
      <c r="C25" s="3" t="s">
        <v>47</v>
      </c>
      <c r="D25" s="20" t="s">
        <v>19</v>
      </c>
      <c r="E25" s="3"/>
      <c r="F25" s="5" t="s">
        <v>85</v>
      </c>
      <c r="G25" s="2" t="s">
        <v>86</v>
      </c>
      <c r="H25" s="2" t="s">
        <v>87</v>
      </c>
    </row>
    <row r="26" spans="1:8" ht="19.5" customHeight="1" x14ac:dyDescent="0.25">
      <c r="A26" s="6" t="s">
        <v>88</v>
      </c>
      <c r="B26" s="6" t="s">
        <v>17</v>
      </c>
      <c r="C26" s="6" t="s">
        <v>24</v>
      </c>
      <c r="D26" s="20" t="s">
        <v>13</v>
      </c>
      <c r="E26" s="11">
        <v>46197</v>
      </c>
      <c r="F26" s="7"/>
      <c r="G26" s="2" t="s">
        <v>89</v>
      </c>
      <c r="H26" s="2" t="s">
        <v>90</v>
      </c>
    </row>
    <row r="27" spans="1:8" ht="19.5" customHeight="1" x14ac:dyDescent="0.25">
      <c r="A27" s="3" t="s">
        <v>91</v>
      </c>
      <c r="B27" s="3" t="s">
        <v>17</v>
      </c>
      <c r="C27" s="3" t="s">
        <v>92</v>
      </c>
      <c r="D27" s="20" t="s">
        <v>19</v>
      </c>
      <c r="E27" s="3"/>
      <c r="F27" s="7" t="s">
        <v>93</v>
      </c>
      <c r="G27" s="2" t="s">
        <v>94</v>
      </c>
      <c r="H27" s="2" t="s">
        <v>95</v>
      </c>
    </row>
    <row r="28" spans="1:8" ht="19.5" customHeight="1" x14ac:dyDescent="0.25">
      <c r="A28" s="6" t="s">
        <v>96</v>
      </c>
      <c r="B28" s="6" t="s">
        <v>17</v>
      </c>
      <c r="C28" s="6" t="s">
        <v>18</v>
      </c>
      <c r="D28" s="22" t="s">
        <v>82</v>
      </c>
      <c r="E28" s="10">
        <v>46196</v>
      </c>
      <c r="F28" s="7"/>
      <c r="G28" s="2" t="s">
        <v>97</v>
      </c>
      <c r="H28" s="2" t="s">
        <v>98</v>
      </c>
    </row>
    <row r="29" spans="1:8" ht="19.5" customHeight="1" x14ac:dyDescent="0.25">
      <c r="A29" s="3" t="s">
        <v>99</v>
      </c>
      <c r="B29" s="3" t="s">
        <v>11</v>
      </c>
      <c r="C29" s="3" t="s">
        <v>18</v>
      </c>
      <c r="D29" s="20" t="s">
        <v>13</v>
      </c>
      <c r="E29" s="11">
        <v>46197</v>
      </c>
      <c r="F29" s="5" t="s">
        <v>100</v>
      </c>
      <c r="G29" s="2" t="s">
        <v>101</v>
      </c>
      <c r="H29" s="2" t="s">
        <v>102</v>
      </c>
    </row>
    <row r="30" spans="1:8" ht="19.5" customHeight="1" x14ac:dyDescent="0.25">
      <c r="A30" s="6" t="s">
        <v>103</v>
      </c>
      <c r="B30" s="6" t="s">
        <v>17</v>
      </c>
      <c r="C30" s="6" t="s">
        <v>24</v>
      </c>
      <c r="D30" s="20" t="s">
        <v>19</v>
      </c>
      <c r="E30" s="6"/>
      <c r="F30" s="7" t="s">
        <v>104</v>
      </c>
      <c r="G30" s="2" t="s">
        <v>105</v>
      </c>
      <c r="H30" s="2" t="s">
        <v>106</v>
      </c>
    </row>
    <row r="31" spans="1:8" ht="19.5" customHeight="1" x14ac:dyDescent="0.25">
      <c r="A31" s="3" t="s">
        <v>107</v>
      </c>
      <c r="B31" s="3" t="s">
        <v>11</v>
      </c>
      <c r="C31" s="3" t="s">
        <v>18</v>
      </c>
      <c r="D31" s="20"/>
      <c r="E31" s="3"/>
      <c r="F31" s="5"/>
      <c r="G31" s="2" t="s">
        <v>108</v>
      </c>
      <c r="H31" s="2" t="s">
        <v>109</v>
      </c>
    </row>
    <row r="32" spans="1:8" ht="19.5" customHeight="1" x14ac:dyDescent="0.25">
      <c r="A32" s="6" t="s">
        <v>110</v>
      </c>
      <c r="B32" s="6" t="s">
        <v>17</v>
      </c>
      <c r="C32" s="6" t="s">
        <v>31</v>
      </c>
      <c r="D32" s="20" t="s">
        <v>13</v>
      </c>
      <c r="E32" s="11">
        <v>46197</v>
      </c>
      <c r="F32" s="7"/>
      <c r="G32" s="2" t="s">
        <v>111</v>
      </c>
      <c r="H32" s="2" t="s">
        <v>112</v>
      </c>
    </row>
    <row r="33" spans="1:8" ht="19.5" customHeight="1" x14ac:dyDescent="0.25">
      <c r="A33" s="3" t="s">
        <v>113</v>
      </c>
      <c r="B33" s="3" t="s">
        <v>17</v>
      </c>
      <c r="C33" s="3" t="s">
        <v>47</v>
      </c>
      <c r="D33" s="20" t="s">
        <v>19</v>
      </c>
      <c r="E33" s="11">
        <v>46197</v>
      </c>
      <c r="F33" s="7" t="s">
        <v>93</v>
      </c>
      <c r="G33" s="2" t="s">
        <v>44</v>
      </c>
    </row>
    <row r="34" spans="1:8" ht="19.5" customHeight="1" x14ac:dyDescent="0.25">
      <c r="A34" s="6" t="s">
        <v>114</v>
      </c>
      <c r="B34" s="6" t="s">
        <v>17</v>
      </c>
      <c r="C34" s="6" t="s">
        <v>35</v>
      </c>
      <c r="D34" s="20" t="s">
        <v>13</v>
      </c>
      <c r="E34" s="11">
        <v>46197</v>
      </c>
      <c r="F34" s="7" t="s">
        <v>115</v>
      </c>
      <c r="G34" s="2" t="s">
        <v>116</v>
      </c>
      <c r="H34" s="2" t="s">
        <v>117</v>
      </c>
    </row>
    <row r="35" spans="1:8" ht="19.5" customHeight="1" x14ac:dyDescent="0.25">
      <c r="A35" s="3" t="s">
        <v>118</v>
      </c>
      <c r="B35" s="3" t="s">
        <v>17</v>
      </c>
      <c r="C35" s="3" t="s">
        <v>12</v>
      </c>
      <c r="D35" s="20"/>
      <c r="E35" s="3"/>
      <c r="F35" s="5"/>
      <c r="G35" s="2" t="s">
        <v>119</v>
      </c>
      <c r="H35" s="2" t="s">
        <v>120</v>
      </c>
    </row>
    <row r="36" spans="1:8" ht="19.5" customHeight="1" x14ac:dyDescent="0.25">
      <c r="A36" s="6" t="s">
        <v>121</v>
      </c>
      <c r="B36" s="6" t="s">
        <v>17</v>
      </c>
      <c r="C36" s="6" t="s">
        <v>18</v>
      </c>
      <c r="D36" s="20" t="s">
        <v>19</v>
      </c>
      <c r="E36" s="11"/>
      <c r="F36" s="7" t="s">
        <v>122</v>
      </c>
      <c r="G36" s="2" t="s">
        <v>123</v>
      </c>
      <c r="H36" s="2" t="s">
        <v>124</v>
      </c>
    </row>
    <row r="37" spans="1:8" ht="19.5" customHeight="1" x14ac:dyDescent="0.25">
      <c r="A37" s="3" t="s">
        <v>125</v>
      </c>
      <c r="B37" s="3" t="s">
        <v>11</v>
      </c>
      <c r="C37" s="3" t="s">
        <v>126</v>
      </c>
      <c r="D37" s="20" t="s">
        <v>13</v>
      </c>
      <c r="E37" s="11">
        <v>46197</v>
      </c>
      <c r="F37" s="5" t="s">
        <v>127</v>
      </c>
      <c r="G37" s="2" t="s">
        <v>44</v>
      </c>
      <c r="H37" s="2" t="s">
        <v>128</v>
      </c>
    </row>
    <row r="38" spans="1:8" ht="19.5" customHeight="1" x14ac:dyDescent="0.25">
      <c r="A38" s="6" t="s">
        <v>129</v>
      </c>
      <c r="B38" s="6" t="s">
        <v>17</v>
      </c>
      <c r="C38" s="6" t="s">
        <v>12</v>
      </c>
      <c r="D38" s="20" t="s">
        <v>13</v>
      </c>
      <c r="E38" s="11">
        <v>46197</v>
      </c>
      <c r="F38" s="7"/>
      <c r="G38" s="2" t="s">
        <v>130</v>
      </c>
      <c r="H38" s="2" t="s">
        <v>131</v>
      </c>
    </row>
    <row r="39" spans="1:8" ht="19.5" customHeight="1" x14ac:dyDescent="0.25">
      <c r="A39" s="3" t="s">
        <v>146</v>
      </c>
      <c r="B39" s="3" t="s">
        <v>17</v>
      </c>
      <c r="C39" s="3" t="s">
        <v>147</v>
      </c>
      <c r="D39" s="23" t="s">
        <v>134</v>
      </c>
      <c r="E39" s="3"/>
      <c r="F39" s="5"/>
      <c r="G39" t="s">
        <v>148</v>
      </c>
      <c r="H39" t="s">
        <v>149</v>
      </c>
    </row>
    <row r="40" spans="1:8" ht="19.5" customHeight="1" x14ac:dyDescent="0.25">
      <c r="A40" s="6" t="s">
        <v>150</v>
      </c>
      <c r="B40" s="6" t="s">
        <v>17</v>
      </c>
      <c r="C40" s="6" t="s">
        <v>151</v>
      </c>
      <c r="D40" s="24" t="s">
        <v>134</v>
      </c>
      <c r="E40" s="6"/>
      <c r="F40" s="7"/>
      <c r="G40" t="s">
        <v>152</v>
      </c>
      <c r="H40" t="s">
        <v>153</v>
      </c>
    </row>
    <row r="41" spans="1:8" ht="19.5" customHeight="1" x14ac:dyDescent="0.25">
      <c r="A41" s="3" t="s">
        <v>154</v>
      </c>
      <c r="B41" s="3" t="s">
        <v>11</v>
      </c>
      <c r="C41" s="3" t="s">
        <v>155</v>
      </c>
      <c r="D41" s="23" t="s">
        <v>134</v>
      </c>
      <c r="E41" s="3"/>
      <c r="F41" s="5"/>
      <c r="G41" t="s">
        <v>246</v>
      </c>
      <c r="H41" t="s">
        <v>156</v>
      </c>
    </row>
    <row r="42" spans="1:8" ht="19.5" customHeight="1" x14ac:dyDescent="0.25">
      <c r="A42" s="6" t="s">
        <v>157</v>
      </c>
      <c r="B42" s="6" t="s">
        <v>17</v>
      </c>
      <c r="C42" s="6" t="s">
        <v>155</v>
      </c>
      <c r="D42" s="24" t="s">
        <v>134</v>
      </c>
      <c r="E42" s="6"/>
      <c r="F42" s="7"/>
      <c r="G42" t="s">
        <v>158</v>
      </c>
      <c r="H42" t="s">
        <v>159</v>
      </c>
    </row>
    <row r="43" spans="1:8" ht="19.5" customHeight="1" x14ac:dyDescent="0.25">
      <c r="A43" s="3" t="s">
        <v>160</v>
      </c>
      <c r="B43" s="3" t="s">
        <v>11</v>
      </c>
      <c r="C43" s="3" t="s">
        <v>247</v>
      </c>
      <c r="D43" s="23" t="s">
        <v>134</v>
      </c>
      <c r="E43" s="3"/>
      <c r="F43" s="5"/>
      <c r="G43" t="s">
        <v>161</v>
      </c>
      <c r="H43" t="s">
        <v>162</v>
      </c>
    </row>
    <row r="44" spans="1:8" ht="19.5" customHeight="1" x14ac:dyDescent="0.25">
      <c r="A44" s="6" t="s">
        <v>163</v>
      </c>
      <c r="B44" s="6" t="s">
        <v>17</v>
      </c>
      <c r="C44" s="6" t="s">
        <v>164</v>
      </c>
      <c r="D44" s="25" t="s">
        <v>66</v>
      </c>
      <c r="E44" s="6"/>
      <c r="F44" s="7" t="s">
        <v>248</v>
      </c>
      <c r="G44" t="s">
        <v>165</v>
      </c>
      <c r="H44" t="s">
        <v>166</v>
      </c>
    </row>
    <row r="45" spans="1:8" ht="19.5" customHeight="1" x14ac:dyDescent="0.25">
      <c r="A45" s="3" t="s">
        <v>167</v>
      </c>
      <c r="B45" s="3" t="s">
        <v>17</v>
      </c>
      <c r="C45" s="3" t="s">
        <v>147</v>
      </c>
      <c r="D45" s="21" t="s">
        <v>66</v>
      </c>
      <c r="E45" s="3"/>
      <c r="F45" s="5" t="s">
        <v>168</v>
      </c>
      <c r="G45" t="s">
        <v>169</v>
      </c>
      <c r="H45" t="s">
        <v>170</v>
      </c>
    </row>
    <row r="46" spans="1:8" ht="19.5" customHeight="1" x14ac:dyDescent="0.25">
      <c r="A46" s="6" t="s">
        <v>171</v>
      </c>
      <c r="B46" s="6" t="s">
        <v>17</v>
      </c>
      <c r="C46" s="6" t="s">
        <v>249</v>
      </c>
      <c r="D46" s="24" t="s">
        <v>134</v>
      </c>
      <c r="E46" s="6"/>
      <c r="F46" s="7"/>
      <c r="G46" t="s">
        <v>172</v>
      </c>
      <c r="H46" t="s">
        <v>173</v>
      </c>
    </row>
    <row r="47" spans="1:8" ht="19.5" customHeight="1" x14ac:dyDescent="0.25">
      <c r="A47" s="3" t="s">
        <v>174</v>
      </c>
      <c r="B47" s="3" t="s">
        <v>17</v>
      </c>
      <c r="C47" s="3" t="s">
        <v>249</v>
      </c>
      <c r="D47" s="23" t="s">
        <v>134</v>
      </c>
      <c r="E47" s="3"/>
      <c r="F47" s="5"/>
      <c r="G47" t="s">
        <v>175</v>
      </c>
      <c r="H47" t="s">
        <v>176</v>
      </c>
    </row>
    <row r="48" spans="1:8" ht="19.5" customHeight="1" x14ac:dyDescent="0.25">
      <c r="A48" s="6" t="s">
        <v>177</v>
      </c>
      <c r="B48" s="6" t="s">
        <v>17</v>
      </c>
      <c r="C48" s="6" t="s">
        <v>178</v>
      </c>
      <c r="D48" s="24" t="s">
        <v>134</v>
      </c>
      <c r="E48" s="6"/>
      <c r="F48" s="7"/>
      <c r="G48" t="s">
        <v>179</v>
      </c>
      <c r="H48" t="s">
        <v>180</v>
      </c>
    </row>
    <row r="49" spans="1:8" ht="19.5" customHeight="1" x14ac:dyDescent="0.25">
      <c r="A49" s="3" t="s">
        <v>181</v>
      </c>
      <c r="B49" s="3" t="s">
        <v>17</v>
      </c>
      <c r="C49" s="3" t="s">
        <v>182</v>
      </c>
      <c r="D49" s="23" t="s">
        <v>134</v>
      </c>
      <c r="E49" s="3"/>
      <c r="F49" s="5"/>
      <c r="G49" t="s">
        <v>183</v>
      </c>
      <c r="H49" t="s">
        <v>184</v>
      </c>
    </row>
    <row r="50" spans="1:8" ht="19.5" customHeight="1" x14ac:dyDescent="0.25">
      <c r="A50" s="6" t="s">
        <v>185</v>
      </c>
      <c r="B50" s="6" t="s">
        <v>17</v>
      </c>
      <c r="C50" s="6" t="s">
        <v>147</v>
      </c>
      <c r="D50" s="24" t="s">
        <v>134</v>
      </c>
      <c r="E50" s="6"/>
      <c r="F50" s="7"/>
      <c r="G50" t="s">
        <v>186</v>
      </c>
      <c r="H50" t="s">
        <v>187</v>
      </c>
    </row>
    <row r="51" spans="1:8" ht="19.5" customHeight="1" x14ac:dyDescent="0.25">
      <c r="A51" s="3" t="s">
        <v>188</v>
      </c>
      <c r="B51" s="3" t="s">
        <v>17</v>
      </c>
      <c r="C51" s="3" t="s">
        <v>178</v>
      </c>
      <c r="D51" s="23" t="s">
        <v>134</v>
      </c>
      <c r="E51" s="3"/>
      <c r="F51" s="5"/>
      <c r="G51" t="s">
        <v>189</v>
      </c>
      <c r="H51" t="s">
        <v>190</v>
      </c>
    </row>
    <row r="52" spans="1:8" ht="19.5" customHeight="1" x14ac:dyDescent="0.25">
      <c r="A52" s="6" t="s">
        <v>191</v>
      </c>
      <c r="B52" s="6" t="s">
        <v>17</v>
      </c>
      <c r="C52" s="6" t="s">
        <v>151</v>
      </c>
      <c r="D52" s="24" t="s">
        <v>134</v>
      </c>
      <c r="E52" s="6"/>
      <c r="F52" s="7"/>
      <c r="G52" t="s">
        <v>192</v>
      </c>
      <c r="H52" t="s">
        <v>193</v>
      </c>
    </row>
    <row r="53" spans="1:8" ht="19.5" customHeight="1" x14ac:dyDescent="0.25">
      <c r="A53" s="3" t="s">
        <v>194</v>
      </c>
      <c r="B53" s="3" t="s">
        <v>17</v>
      </c>
      <c r="C53" s="3" t="s">
        <v>249</v>
      </c>
      <c r="D53" s="23" t="s">
        <v>134</v>
      </c>
      <c r="E53" s="3"/>
      <c r="F53" s="5"/>
      <c r="G53" t="s">
        <v>195</v>
      </c>
      <c r="H53" t="s">
        <v>196</v>
      </c>
    </row>
    <row r="54" spans="1:8" ht="19.5" customHeight="1" x14ac:dyDescent="0.25">
      <c r="A54" s="6" t="s">
        <v>197</v>
      </c>
      <c r="B54" s="6" t="s">
        <v>17</v>
      </c>
      <c r="C54" s="6" t="s">
        <v>178</v>
      </c>
      <c r="D54" s="24" t="s">
        <v>134</v>
      </c>
      <c r="E54" s="6"/>
      <c r="F54" s="7"/>
      <c r="G54" t="s">
        <v>198</v>
      </c>
      <c r="H54" t="s">
        <v>199</v>
      </c>
    </row>
    <row r="55" spans="1:8" ht="14.25" customHeight="1" x14ac:dyDescent="0.25">
      <c r="A55" s="6" t="s">
        <v>200</v>
      </c>
      <c r="B55" s="6" t="s">
        <v>11</v>
      </c>
      <c r="C55" s="6" t="s">
        <v>201</v>
      </c>
      <c r="D55" s="24" t="s">
        <v>134</v>
      </c>
      <c r="E55" s="6"/>
      <c r="F55" s="7"/>
      <c r="G55" t="s">
        <v>202</v>
      </c>
      <c r="H55" t="s">
        <v>203</v>
      </c>
    </row>
    <row r="56" spans="1:8" ht="14.25" customHeight="1" x14ac:dyDescent="0.25">
      <c r="A56" s="6" t="s">
        <v>204</v>
      </c>
      <c r="B56" s="6" t="s">
        <v>11</v>
      </c>
      <c r="C56" s="6" t="s">
        <v>201</v>
      </c>
      <c r="D56" s="24" t="s">
        <v>134</v>
      </c>
      <c r="E56" s="6"/>
      <c r="F56" s="7"/>
      <c r="G56" t="s">
        <v>205</v>
      </c>
      <c r="H56" t="s">
        <v>206</v>
      </c>
    </row>
    <row r="57" spans="1:8" ht="14.25" customHeight="1" x14ac:dyDescent="0.25">
      <c r="A57" s="6" t="s">
        <v>207</v>
      </c>
      <c r="B57" s="6" t="s">
        <v>11</v>
      </c>
      <c r="C57" s="6" t="s">
        <v>208</v>
      </c>
      <c r="D57" s="24" t="s">
        <v>134</v>
      </c>
      <c r="E57" s="6"/>
      <c r="F57" s="7"/>
      <c r="G57" t="s">
        <v>209</v>
      </c>
      <c r="H57" t="s">
        <v>210</v>
      </c>
    </row>
    <row r="58" spans="1:8" ht="14.25" customHeight="1" x14ac:dyDescent="0.25">
      <c r="A58" s="6" t="s">
        <v>211</v>
      </c>
      <c r="B58" s="6" t="s">
        <v>11</v>
      </c>
      <c r="C58" s="6" t="s">
        <v>208</v>
      </c>
      <c r="D58" s="24" t="s">
        <v>134</v>
      </c>
      <c r="E58" s="6"/>
      <c r="F58" s="7"/>
      <c r="G58" t="s">
        <v>212</v>
      </c>
      <c r="H58" t="s">
        <v>213</v>
      </c>
    </row>
    <row r="59" spans="1:8" ht="14.25" customHeight="1" x14ac:dyDescent="0.25">
      <c r="A59" s="6" t="s">
        <v>214</v>
      </c>
      <c r="B59" s="6" t="s">
        <v>11</v>
      </c>
      <c r="C59" s="6" t="s">
        <v>215</v>
      </c>
      <c r="D59" s="24" t="s">
        <v>134</v>
      </c>
      <c r="E59" s="6"/>
      <c r="F59" s="7"/>
      <c r="G59" t="s">
        <v>216</v>
      </c>
      <c r="H59" t="s">
        <v>217</v>
      </c>
    </row>
    <row r="60" spans="1:8" ht="14.25" customHeight="1" x14ac:dyDescent="0.25">
      <c r="A60" s="6" t="s">
        <v>218</v>
      </c>
      <c r="B60" s="6" t="s">
        <v>11</v>
      </c>
      <c r="C60" s="6" t="s">
        <v>215</v>
      </c>
      <c r="D60" s="24" t="s">
        <v>134</v>
      </c>
      <c r="E60" s="6"/>
      <c r="F60" s="7"/>
      <c r="G60" t="s">
        <v>219</v>
      </c>
      <c r="H60" t="s">
        <v>220</v>
      </c>
    </row>
    <row r="61" spans="1:8" ht="14.25" customHeight="1" x14ac:dyDescent="0.25">
      <c r="A61" s="6" t="s">
        <v>221</v>
      </c>
      <c r="B61" s="6" t="s">
        <v>17</v>
      </c>
      <c r="C61" s="6" t="s">
        <v>222</v>
      </c>
      <c r="D61" s="24" t="s">
        <v>134</v>
      </c>
      <c r="E61" s="6"/>
      <c r="F61" s="7"/>
      <c r="G61" t="s">
        <v>223</v>
      </c>
      <c r="H61" t="s">
        <v>224</v>
      </c>
    </row>
    <row r="62" spans="1:8" ht="14.25" customHeight="1" x14ac:dyDescent="0.25">
      <c r="A62" s="6" t="s">
        <v>225</v>
      </c>
      <c r="B62" s="6" t="s">
        <v>17</v>
      </c>
      <c r="C62" s="6" t="s">
        <v>222</v>
      </c>
      <c r="D62" s="24" t="s">
        <v>134</v>
      </c>
      <c r="E62" s="6"/>
      <c r="F62" s="7"/>
      <c r="G62" t="s">
        <v>226</v>
      </c>
      <c r="H62" t="s">
        <v>227</v>
      </c>
    </row>
    <row r="63" spans="1:8" ht="14.25" customHeight="1" x14ac:dyDescent="0.25">
      <c r="A63" s="6" t="s">
        <v>228</v>
      </c>
      <c r="B63" s="6" t="s">
        <v>17</v>
      </c>
      <c r="C63" s="6" t="s">
        <v>208</v>
      </c>
      <c r="D63" s="24" t="s">
        <v>134</v>
      </c>
      <c r="E63" s="6"/>
      <c r="F63" s="7"/>
      <c r="G63" t="s">
        <v>229</v>
      </c>
      <c r="H63" t="s">
        <v>230</v>
      </c>
    </row>
    <row r="64" spans="1:8" ht="14.25" customHeight="1" x14ac:dyDescent="0.25">
      <c r="A64" s="6" t="s">
        <v>231</v>
      </c>
      <c r="B64" s="6" t="s">
        <v>17</v>
      </c>
      <c r="C64" s="6" t="s">
        <v>208</v>
      </c>
      <c r="D64" s="24" t="s">
        <v>134</v>
      </c>
      <c r="E64" s="6"/>
      <c r="F64" s="7"/>
      <c r="G64" t="s">
        <v>232</v>
      </c>
      <c r="H64" t="s">
        <v>233</v>
      </c>
    </row>
    <row r="65" spans="1:8" ht="14.25" customHeight="1" x14ac:dyDescent="0.25">
      <c r="A65" s="6" t="s">
        <v>234</v>
      </c>
      <c r="B65" s="6" t="s">
        <v>17</v>
      </c>
      <c r="C65" s="6" t="s">
        <v>208</v>
      </c>
      <c r="D65" s="24" t="s">
        <v>134</v>
      </c>
      <c r="E65" s="6"/>
      <c r="F65" s="7"/>
      <c r="G65" t="s">
        <v>235</v>
      </c>
      <c r="H65" t="s">
        <v>236</v>
      </c>
    </row>
    <row r="66" spans="1:8" ht="14.25" customHeight="1" x14ac:dyDescent="0.25">
      <c r="A66" s="6" t="s">
        <v>237</v>
      </c>
      <c r="B66" s="6" t="s">
        <v>17</v>
      </c>
      <c r="C66" s="6" t="s">
        <v>201</v>
      </c>
      <c r="D66" s="24" t="s">
        <v>134</v>
      </c>
      <c r="E66" s="6"/>
      <c r="F66" s="7"/>
      <c r="G66" t="s">
        <v>238</v>
      </c>
      <c r="H66" t="s">
        <v>239</v>
      </c>
    </row>
    <row r="67" spans="1:8" ht="14.25" customHeight="1" x14ac:dyDescent="0.25">
      <c r="A67" s="6" t="s">
        <v>240</v>
      </c>
      <c r="B67" s="6" t="s">
        <v>17</v>
      </c>
      <c r="C67" s="6" t="s">
        <v>201</v>
      </c>
      <c r="D67" s="24" t="s">
        <v>134</v>
      </c>
      <c r="E67" s="6"/>
      <c r="F67" s="7"/>
      <c r="G67" t="s">
        <v>241</v>
      </c>
      <c r="H67" t="s">
        <v>242</v>
      </c>
    </row>
    <row r="68" spans="1:8" ht="14.25" customHeight="1" x14ac:dyDescent="0.25">
      <c r="A68" s="6" t="s">
        <v>243</v>
      </c>
      <c r="B68" s="6" t="s">
        <v>17</v>
      </c>
      <c r="C68" s="6" t="s">
        <v>215</v>
      </c>
      <c r="D68" s="24" t="s">
        <v>134</v>
      </c>
      <c r="E68" s="6"/>
      <c r="F68" s="7"/>
      <c r="G68" t="s">
        <v>244</v>
      </c>
      <c r="H68" t="s">
        <v>245</v>
      </c>
    </row>
    <row r="69" spans="1:8" ht="14.25" customHeight="1" x14ac:dyDescent="0.25"/>
    <row r="70" spans="1:8" ht="14.25" customHeight="1" x14ac:dyDescent="0.25"/>
    <row r="71" spans="1:8" ht="14.25" customHeight="1" x14ac:dyDescent="0.25"/>
    <row r="72" spans="1:8" ht="14.25" customHeight="1" x14ac:dyDescent="0.25"/>
    <row r="73" spans="1:8" ht="14.25" customHeight="1" x14ac:dyDescent="0.25"/>
    <row r="74" spans="1:8" ht="14.25" customHeight="1" x14ac:dyDescent="0.25"/>
    <row r="75" spans="1:8" ht="14.25" customHeight="1" x14ac:dyDescent="0.25"/>
    <row r="76" spans="1:8" ht="14.25" customHeight="1" x14ac:dyDescent="0.25"/>
    <row r="77" spans="1:8" ht="14.25" customHeight="1" x14ac:dyDescent="0.25"/>
    <row r="78" spans="1:8" ht="14.25" customHeight="1" x14ac:dyDescent="0.25"/>
    <row r="79" spans="1:8" ht="14.25" customHeight="1" x14ac:dyDescent="0.25"/>
    <row r="80" spans="1:8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A1:F1"/>
    <mergeCell ref="A2:F2"/>
  </mergeCells>
  <dataValidations count="1">
    <dataValidation type="list" allowBlank="1" sqref="D5:D68" xr:uid="{00000000-0002-0000-0000-000000000000}">
      <formula1>"1 · Mensagem enviada,2 · Follow-up enviado,3 · Ligação (pivô),4 · Mensagem ao dono,5 · Ligação final,Respondeu,R1 marcada,R1 realizada,No-show,R2 marcada,Fechado,Não / Descartado,Depois (revisitar)"</formula1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showGridLines="0" workbookViewId="0"/>
  </sheetViews>
  <sheetFormatPr defaultColWidth="14.42578125" defaultRowHeight="15" customHeight="1" x14ac:dyDescent="0.25"/>
  <cols>
    <col min="1" max="1" width="26" customWidth="1"/>
    <col min="2" max="2" width="14" customWidth="1"/>
    <col min="3" max="26" width="8.7109375" customWidth="1"/>
  </cols>
  <sheetData>
    <row r="1" spans="1:4" ht="33.75" customHeight="1" x14ac:dyDescent="0.25">
      <c r="A1" s="26" t="s">
        <v>132</v>
      </c>
      <c r="B1" s="27"/>
      <c r="C1" s="27"/>
      <c r="D1" s="28"/>
    </row>
    <row r="2" spans="1:4" ht="14.25" customHeight="1" x14ac:dyDescent="0.25"/>
    <row r="3" spans="1:4" ht="14.25" customHeight="1" x14ac:dyDescent="0.25">
      <c r="A3" s="1" t="s">
        <v>5</v>
      </c>
      <c r="B3" s="1" t="s">
        <v>133</v>
      </c>
    </row>
    <row r="4" spans="1:4" ht="14.25" customHeight="1" x14ac:dyDescent="0.25">
      <c r="A4" s="12" t="s">
        <v>134</v>
      </c>
      <c r="B4" s="13">
        <f>COUNTIF(Pipeline!$D$5:$D$100,A4)</f>
        <v>28</v>
      </c>
    </row>
    <row r="5" spans="1:4" ht="14.25" customHeight="1" x14ac:dyDescent="0.25">
      <c r="A5" s="14" t="s">
        <v>13</v>
      </c>
      <c r="B5" s="15">
        <f>COUNTIF(Pipeline!$D$5:$D$100,A5)</f>
        <v>21</v>
      </c>
    </row>
    <row r="6" spans="1:4" ht="14.25" customHeight="1" x14ac:dyDescent="0.25">
      <c r="A6" s="12" t="s">
        <v>135</v>
      </c>
      <c r="B6" s="13">
        <f>COUNTIF(Pipeline!$D$5:$D$100,A6)</f>
        <v>0</v>
      </c>
    </row>
    <row r="7" spans="1:4" ht="14.25" customHeight="1" x14ac:dyDescent="0.25">
      <c r="A7" s="14" t="s">
        <v>136</v>
      </c>
      <c r="B7" s="15">
        <f>COUNTIF(Pipeline!$D$5:$D$100,A7)</f>
        <v>0</v>
      </c>
    </row>
    <row r="8" spans="1:4" ht="14.25" customHeight="1" x14ac:dyDescent="0.25">
      <c r="A8" s="12" t="s">
        <v>137</v>
      </c>
      <c r="B8" s="13">
        <f>COUNTIF(Pipeline!$D$5:$D$100,A8)</f>
        <v>0</v>
      </c>
    </row>
    <row r="9" spans="1:4" ht="14.25" customHeight="1" x14ac:dyDescent="0.25">
      <c r="A9" s="14" t="s">
        <v>66</v>
      </c>
      <c r="B9" s="15">
        <f>COUNTIF(Pipeline!$D$5:$D$100,A9)</f>
        <v>3</v>
      </c>
    </row>
    <row r="10" spans="1:4" ht="14.25" customHeight="1" x14ac:dyDescent="0.25">
      <c r="A10" s="12" t="s">
        <v>82</v>
      </c>
      <c r="B10" s="13">
        <f>COUNTIF(Pipeline!$D$5:$D$100,A10)</f>
        <v>2</v>
      </c>
    </row>
    <row r="11" spans="1:4" ht="14.25" customHeight="1" x14ac:dyDescent="0.25">
      <c r="A11" s="14" t="s">
        <v>138</v>
      </c>
      <c r="B11" s="15">
        <f>COUNTIF(Pipeline!$D$5:$D$100,A11)</f>
        <v>0</v>
      </c>
    </row>
    <row r="12" spans="1:4" ht="14.25" customHeight="1" x14ac:dyDescent="0.25">
      <c r="A12" s="12" t="s">
        <v>139</v>
      </c>
      <c r="B12" s="13">
        <f>COUNTIF(Pipeline!$D$5:$D$100,A12)</f>
        <v>0</v>
      </c>
    </row>
    <row r="13" spans="1:4" ht="14.25" customHeight="1" x14ac:dyDescent="0.25">
      <c r="A13" s="14" t="s">
        <v>140</v>
      </c>
      <c r="B13" s="15">
        <f>COUNTIF(Pipeline!$D$5:$D$100,A13)</f>
        <v>0</v>
      </c>
    </row>
    <row r="14" spans="1:4" ht="14.25" customHeight="1" x14ac:dyDescent="0.25">
      <c r="A14" s="12" t="s">
        <v>141</v>
      </c>
      <c r="B14" s="13">
        <f>COUNTIF(Pipeline!$D$5:$D$100,A14)</f>
        <v>0</v>
      </c>
    </row>
    <row r="15" spans="1:4" ht="14.25" customHeight="1" x14ac:dyDescent="0.25">
      <c r="A15" s="14" t="s">
        <v>19</v>
      </c>
      <c r="B15" s="15">
        <f>COUNTIF(Pipeline!$D$5:$D$100,A15)</f>
        <v>8</v>
      </c>
    </row>
    <row r="16" spans="1:4" ht="14.25" customHeight="1" x14ac:dyDescent="0.25">
      <c r="A16" s="12" t="s">
        <v>142</v>
      </c>
      <c r="B16" s="13">
        <f>COUNTIF(Pipeline!$D$5:$D$100,A16)</f>
        <v>0</v>
      </c>
    </row>
    <row r="17" spans="1:2" ht="14.25" customHeight="1" x14ac:dyDescent="0.25"/>
    <row r="18" spans="1:2" ht="14.25" customHeight="1" x14ac:dyDescent="0.25">
      <c r="A18" s="16" t="s">
        <v>143</v>
      </c>
      <c r="B18" s="17">
        <f>COUNTA(Pipeline!A5:A100)</f>
        <v>64</v>
      </c>
    </row>
    <row r="19" spans="1:2" ht="14.25" customHeight="1" x14ac:dyDescent="0.25">
      <c r="A19" s="18" t="s">
        <v>144</v>
      </c>
      <c r="B19" s="19">
        <f>IFERROR((B9+B10+B11+B12+B13+B14+B15+B16)/B18,0)</f>
        <v>0.203125</v>
      </c>
    </row>
    <row r="20" spans="1:2" ht="14.25" customHeight="1" x14ac:dyDescent="0.25">
      <c r="A20" s="18" t="s">
        <v>145</v>
      </c>
      <c r="B20" s="19">
        <f>IFERROR(B12/(B10+B11+B12),0)</f>
        <v>0</v>
      </c>
    </row>
    <row r="21" spans="1:2" ht="14.25" customHeight="1" x14ac:dyDescent="0.25"/>
    <row r="22" spans="1:2" ht="14.25" customHeight="1" x14ac:dyDescent="0.25"/>
    <row r="23" spans="1:2" ht="14.25" customHeight="1" x14ac:dyDescent="0.25"/>
    <row r="24" spans="1:2" ht="14.25" customHeight="1" x14ac:dyDescent="0.25"/>
    <row r="25" spans="1:2" ht="14.25" customHeight="1" x14ac:dyDescent="0.25"/>
    <row r="26" spans="1:2" ht="14.25" customHeight="1" x14ac:dyDescent="0.25"/>
    <row r="27" spans="1:2" ht="14.25" customHeight="1" x14ac:dyDescent="0.25"/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D1"/>
  </mergeCells>
  <pageMargins left="0.75" right="0.75" top="1" bottom="1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Pipeline</vt:lpstr>
      <vt:lpstr>Painel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Kaio Veiga</cp:lastModifiedBy>
  <dcterms:modified xsi:type="dcterms:W3CDTF">2026-06-29T12:54:12Z</dcterms:modified>
</cp:coreProperties>
</file>